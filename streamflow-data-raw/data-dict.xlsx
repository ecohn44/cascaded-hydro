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cohn/Desktop/cascaded-hydro/streamflow-data-raw/"/>
    </mc:Choice>
  </mc:AlternateContent>
  <xr:revisionPtr revIDLastSave="0" documentId="13_ncr:1_{926DA16C-5CC2-634F-A9B0-54BE40EBFCA8}" xr6:coauthVersionLast="47" xr6:coauthVersionMax="47" xr10:uidLastSave="{00000000-0000-0000-0000-000000000000}"/>
  <bookViews>
    <workbookView xWindow="180" yWindow="760" windowWidth="28740" windowHeight="16920" xr2:uid="{91E4E570-4FDA-D248-8E42-05C4D408F481}"/>
  </bookViews>
  <sheets>
    <sheet name="Overview" sheetId="1" r:id="rId1"/>
    <sheet name="Features" sheetId="2" r:id="rId2"/>
    <sheet name="bon" sheetId="3" r:id="rId3"/>
    <sheet name="debug-cha" sheetId="4" r:id="rId4"/>
    <sheet name="debug-diu" sheetId="5" r:id="rId5"/>
    <sheet name="debug-ddu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" l="1"/>
  <c r="G6" i="7" s="1"/>
  <c r="E7" i="7"/>
  <c r="G7" i="7" s="1"/>
  <c r="E8" i="7"/>
  <c r="G8" i="7" s="1"/>
  <c r="E9" i="7"/>
  <c r="G9" i="7" s="1"/>
  <c r="E10" i="7"/>
  <c r="G10" i="7" s="1"/>
  <c r="E11" i="7"/>
  <c r="G11" i="7" s="1"/>
  <c r="E12" i="7"/>
  <c r="G12" i="7" s="1"/>
  <c r="E13" i="7"/>
  <c r="G13" i="7" s="1"/>
  <c r="E14" i="7"/>
  <c r="G14" i="7" s="1"/>
  <c r="E15" i="7"/>
  <c r="G15" i="7" s="1"/>
  <c r="E16" i="7"/>
  <c r="G16" i="7" s="1"/>
  <c r="E5" i="7"/>
  <c r="G5" i="7" s="1"/>
  <c r="G29" i="4"/>
  <c r="H29" i="4"/>
  <c r="G21" i="4"/>
  <c r="H21" i="4"/>
  <c r="G22" i="4"/>
  <c r="H22" i="4"/>
  <c r="G23" i="4"/>
  <c r="H23" i="4"/>
  <c r="G24" i="4"/>
  <c r="H24" i="4"/>
  <c r="G25" i="4"/>
  <c r="H25" i="4"/>
  <c r="G26" i="4"/>
  <c r="H26" i="4"/>
  <c r="G27" i="4"/>
  <c r="H27" i="4"/>
  <c r="B29" i="4"/>
  <c r="F29" i="4"/>
  <c r="C29" i="4"/>
  <c r="D29" i="4"/>
  <c r="E29" i="4"/>
  <c r="D21" i="4"/>
  <c r="E21" i="4"/>
  <c r="F21" i="4"/>
  <c r="D22" i="4"/>
  <c r="E22" i="4"/>
  <c r="F22" i="4"/>
  <c r="D23" i="4"/>
  <c r="E23" i="4"/>
  <c r="F23" i="4"/>
  <c r="D24" i="4"/>
  <c r="E24" i="4"/>
  <c r="F24" i="4"/>
  <c r="D25" i="4"/>
  <c r="E25" i="4"/>
  <c r="F25" i="4"/>
  <c r="D26" i="4"/>
  <c r="E26" i="4"/>
  <c r="F26" i="4"/>
  <c r="D27" i="4"/>
  <c r="E27" i="4"/>
  <c r="F27" i="4"/>
  <c r="C22" i="4"/>
  <c r="C23" i="4"/>
  <c r="C24" i="4"/>
  <c r="C25" i="4"/>
  <c r="C26" i="4"/>
  <c r="C27" i="4"/>
  <c r="C21" i="4"/>
  <c r="B22" i="4"/>
  <c r="B23" i="4"/>
  <c r="B24" i="4"/>
  <c r="B25" i="4"/>
  <c r="B26" i="4"/>
  <c r="B27" i="4"/>
  <c r="B21" i="4"/>
  <c r="J46" i="3"/>
  <c r="J48" i="3"/>
  <c r="J49" i="3"/>
  <c r="J50" i="3"/>
  <c r="J54" i="3"/>
  <c r="J57" i="3"/>
  <c r="J58" i="3"/>
  <c r="J62" i="3"/>
  <c r="J65" i="3"/>
  <c r="I44" i="3"/>
  <c r="J44" i="3" s="1"/>
  <c r="I45" i="3"/>
  <c r="J45" i="3" s="1"/>
  <c r="I46" i="3"/>
  <c r="I47" i="3"/>
  <c r="J47" i="3" s="1"/>
  <c r="I48" i="3"/>
  <c r="I49" i="3"/>
  <c r="I50" i="3"/>
  <c r="I51" i="3"/>
  <c r="J51" i="3" s="1"/>
  <c r="I52" i="3"/>
  <c r="J52" i="3" s="1"/>
  <c r="I53" i="3"/>
  <c r="J53" i="3" s="1"/>
  <c r="I54" i="3"/>
  <c r="I55" i="3"/>
  <c r="J55" i="3" s="1"/>
  <c r="I56" i="3"/>
  <c r="J56" i="3" s="1"/>
  <c r="I57" i="3"/>
  <c r="I58" i="3"/>
  <c r="I59" i="3"/>
  <c r="J59" i="3" s="1"/>
  <c r="I60" i="3"/>
  <c r="J60" i="3" s="1"/>
  <c r="I61" i="3"/>
  <c r="J61" i="3" s="1"/>
  <c r="I62" i="3"/>
  <c r="I63" i="3"/>
  <c r="J63" i="3" s="1"/>
  <c r="I64" i="3"/>
  <c r="J64" i="3" s="1"/>
  <c r="I65" i="3"/>
  <c r="I43" i="3"/>
  <c r="J43" i="3" s="1"/>
  <c r="G44" i="3"/>
  <c r="G45" i="3"/>
  <c r="G49" i="3"/>
  <c r="G51" i="3"/>
  <c r="G52" i="3"/>
  <c r="G53" i="3"/>
  <c r="G57" i="3"/>
  <c r="G59" i="3"/>
  <c r="G60" i="3"/>
  <c r="G61" i="3"/>
  <c r="G65" i="3"/>
  <c r="F44" i="3"/>
  <c r="F45" i="3"/>
  <c r="F46" i="3"/>
  <c r="G46" i="3" s="1"/>
  <c r="F47" i="3"/>
  <c r="G47" i="3" s="1"/>
  <c r="F48" i="3"/>
  <c r="G48" i="3" s="1"/>
  <c r="F49" i="3"/>
  <c r="F50" i="3"/>
  <c r="G50" i="3" s="1"/>
  <c r="F51" i="3"/>
  <c r="F52" i="3"/>
  <c r="F53" i="3"/>
  <c r="F54" i="3"/>
  <c r="G54" i="3" s="1"/>
  <c r="F55" i="3"/>
  <c r="G55" i="3" s="1"/>
  <c r="F56" i="3"/>
  <c r="G56" i="3" s="1"/>
  <c r="F57" i="3"/>
  <c r="F58" i="3"/>
  <c r="G58" i="3" s="1"/>
  <c r="F59" i="3"/>
  <c r="F60" i="3"/>
  <c r="F61" i="3"/>
  <c r="F62" i="3"/>
  <c r="G62" i="3" s="1"/>
  <c r="F63" i="3"/>
  <c r="G63" i="3" s="1"/>
  <c r="F64" i="3"/>
  <c r="G64" i="3" s="1"/>
  <c r="F65" i="3"/>
  <c r="F43" i="3"/>
  <c r="G43" i="3" s="1"/>
  <c r="C54" i="3"/>
  <c r="D54" i="3" s="1"/>
  <c r="D53" i="3"/>
  <c r="D55" i="3"/>
  <c r="D43" i="3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C55" i="3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C43" i="3"/>
  <c r="H18" i="3"/>
  <c r="H26" i="3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" i="3"/>
  <c r="H3" i="3" s="1"/>
  <c r="H38" i="3" l="1" a="1"/>
  <c r="H3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tc={E4934587-327F-B541-8084-D24B78FA2E20}</author>
    <author>tc={00BC6A4A-5799-1945-A5A2-81E3D104E5AB}</author>
  </authors>
  <commentList>
    <comment ref="A11" authorId="0" shapeId="0" xr:uid="{E4934587-327F-B541-8084-D24B78FA2E20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calculate from hourly outflow data once queried from ACE</t>
      </text>
    </comment>
    <comment ref="A22" authorId="1" shapeId="0" xr:uid="{00BC6A4A-5799-1945-A5A2-81E3D104E5A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inference from hourly torbay elevation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<sst xmlns="http://schemas.openxmlformats.org/spreadsheetml/2006/main" count="196" uniqueCount="124">
  <si>
    <t>ID</t>
  </si>
  <si>
    <t>Station</t>
  </si>
  <si>
    <t>Operator</t>
  </si>
  <si>
    <t>Bonneville Power Plant</t>
  </si>
  <si>
    <t>US ACE</t>
  </si>
  <si>
    <t>1154 </t>
  </si>
  <si>
    <t>Daily data</t>
  </si>
  <si>
    <t>John Day Power Plant</t>
  </si>
  <si>
    <t>2052 </t>
  </si>
  <si>
    <t>Capacity (MW)</t>
  </si>
  <si>
    <t>US ACE Data</t>
  </si>
  <si>
    <t>USGS Outflow Site No</t>
  </si>
  <si>
    <t>USGS Inflow Site No</t>
  </si>
  <si>
    <t>US ACE Datasets</t>
  </si>
  <si>
    <t>Bonneville Dam</t>
  </si>
  <si>
    <t>Dalles Dam</t>
  </si>
  <si>
    <t>Hourly outflow</t>
  </si>
  <si>
    <t>Hourly spill</t>
  </si>
  <si>
    <t>Hourly average head</t>
  </si>
  <si>
    <t>Hourly forebay elevation</t>
  </si>
  <si>
    <t>Hourly tailwater elevation</t>
  </si>
  <si>
    <t>Hourly generation flow</t>
  </si>
  <si>
    <t>Daily inflow (kcfs)</t>
  </si>
  <si>
    <t>Distance to Next Unit (mi)</t>
  </si>
  <si>
    <t>537,000 </t>
  </si>
  <si>
    <t>Volume (Ac-Ft)</t>
  </si>
  <si>
    <t>Efficiency</t>
  </si>
  <si>
    <t>Day of Month</t>
  </si>
  <si>
    <t>Total Generation MWh</t>
  </si>
  <si>
    <t>Average Generation MW</t>
  </si>
  <si>
    <t>Station Use MWh</t>
  </si>
  <si>
    <t>Inflow kcfs</t>
  </si>
  <si>
    <t>Total Outflow kcfs</t>
  </si>
  <si>
    <t>Generation Flow kcfs</t>
  </si>
  <si>
    <t>Spill kcfs</t>
  </si>
  <si>
    <t>Midnight Reservoir Elevation</t>
  </si>
  <si>
    <t>Average Forebay Elevation</t>
  </si>
  <si>
    <t>Average Tailwater Elevation</t>
  </si>
  <si>
    <t>Average Head feet</t>
  </si>
  <si>
    <t>Project Average Tailwater</t>
  </si>
  <si>
    <t>2nd Powerhouse Total MWh</t>
  </si>
  <si>
    <t>2nd Powerhouse Flow kcfs</t>
  </si>
  <si>
    <t>TOT</t>
  </si>
  <si>
    <t>AVG</t>
  </si>
  <si>
    <t>MAX</t>
  </si>
  <si>
    <t>MIN</t>
  </si>
  <si>
    <t>Prev_Outflow</t>
  </si>
  <si>
    <t>Difference</t>
  </si>
  <si>
    <t>Hour of Day</t>
  </si>
  <si>
    <t>Prev_term</t>
  </si>
  <si>
    <t>Outflow (kfs)</t>
  </si>
  <si>
    <t>John Day</t>
  </si>
  <si>
    <t>Max Forebay/ Pool (ft.)</t>
  </si>
  <si>
    <t>Type</t>
  </si>
  <si>
    <t>Run of River</t>
  </si>
  <si>
    <t>Storage</t>
  </si>
  <si>
    <t>McNary Dam</t>
  </si>
  <si>
    <t>Min/Max flow</t>
  </si>
  <si>
    <t>Ramp rate</t>
  </si>
  <si>
    <t xml:space="preserve">	1,350,000</t>
  </si>
  <si>
    <t>Priest Rapids</t>
  </si>
  <si>
    <t>PUD</t>
  </si>
  <si>
    <t>Public Utility Data (PUD)</t>
  </si>
  <si>
    <t>Priest Rapids - Grant County</t>
  </si>
  <si>
    <t>*No minimum/maximum forebay or pool</t>
  </si>
  <si>
    <t>Wanapum</t>
  </si>
  <si>
    <t>Wanapum Dam - Grant County</t>
  </si>
  <si>
    <t>Rock Island</t>
  </si>
  <si>
    <t>Rocky Reach</t>
  </si>
  <si>
    <t>Wells</t>
  </si>
  <si>
    <t>Chief Joseph</t>
  </si>
  <si>
    <t>Grand Coulee</t>
  </si>
  <si>
    <t>Rock Island - Chelan County</t>
  </si>
  <si>
    <t>Rocky Reach - Chelan County</t>
  </si>
  <si>
    <t>Wells Dam - Douglas County</t>
  </si>
  <si>
    <t>Min Forebay/ Pool (ft.)</t>
  </si>
  <si>
    <t>USBR</t>
  </si>
  <si>
    <t>MINLP</t>
  </si>
  <si>
    <t>Time [hr]</t>
  </si>
  <si>
    <t>Head [m]</t>
  </si>
  <si>
    <t>P1 [MWh]</t>
  </si>
  <si>
    <t>V1 [m3]</t>
  </si>
  <si>
    <t>U1 [m3/hr]</t>
  </si>
  <si>
    <t>CHA</t>
  </si>
  <si>
    <t>P1_Max [MWh]</t>
  </si>
  <si>
    <t>Sum:</t>
  </si>
  <si>
    <t>P2 [MWh]</t>
  </si>
  <si>
    <t>P2_Max [MWh]</t>
  </si>
  <si>
    <t>S1 [m3/hr]</t>
  </si>
  <si>
    <t>S2 [m3/hr]</t>
  </si>
  <si>
    <t>V2 [m3]</t>
  </si>
  <si>
    <t>U2 [m3/hr]</t>
  </si>
  <si>
    <t xml:space="preserve">Start Date: </t>
  </si>
  <si>
    <t>"2023-06-01T00:00:00"</t>
  </si>
  <si>
    <t>SoC: 0.5</t>
  </si>
  <si>
    <t>Debug #1: Checking Scale</t>
  </si>
  <si>
    <t>Total Release [m3/hr]</t>
  </si>
  <si>
    <t>Historical Release</t>
  </si>
  <si>
    <t>SoC1: 0.5</t>
  </si>
  <si>
    <t>Unit 02 Simulation</t>
  </si>
  <si>
    <t>T</t>
  </si>
  <si>
    <t>Date Time</t>
  </si>
  <si>
    <t>"2023-06-01T00:02:00"</t>
  </si>
  <si>
    <t>"2023-06-01T00:08:00"</t>
  </si>
  <si>
    <t>SoC2: 0.5</t>
  </si>
  <si>
    <t>Wet Season</t>
  </si>
  <si>
    <t>Debug #2: Checking Estimated Std Formula on DIU Simulations</t>
  </si>
  <si>
    <t>Error</t>
  </si>
  <si>
    <t>Q_Pred [m3/hr]</t>
  </si>
  <si>
    <t>Q_Historical [m3/hr]</t>
  </si>
  <si>
    <t>DIU</t>
  </si>
  <si>
    <t>TRAINING</t>
  </si>
  <si>
    <t>Norm Release</t>
  </si>
  <si>
    <t>Norm Q Pred</t>
  </si>
  <si>
    <t>Norm Q Historical</t>
  </si>
  <si>
    <t xml:space="preserve">Error </t>
  </si>
  <si>
    <t>Norm Error</t>
  </si>
  <si>
    <t>Norm Estimated Std</t>
  </si>
  <si>
    <t>Estimated Std</t>
  </si>
  <si>
    <t>Historical Release [m3/hr]</t>
  </si>
  <si>
    <t>Wet Season Outflow Mean:</t>
  </si>
  <si>
    <t>Wet Season Outflow Std:</t>
  </si>
  <si>
    <t>Wet Season Inflow Mean:</t>
  </si>
  <si>
    <t>Wet Season Inflow Std: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</si>
</sst>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E+00"/>
    <numFmt numFmtId="166" formatCode="0.000"/>
    <numFmt numFmtId="167" formatCode="0.000E+00"/>
  </numFmts>
  <fonts count="2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rgb="FF000000"/>
      <name val="Aptos Narrow"/>
      <scheme val="minor"/>
    </font>
    <font>
      <sz val="16"/>
      <color rgb="FF000000"/>
      <name val="Aptos Narrow"/>
      <scheme val="minor"/>
    </font>
    <font>
      <u/>
      <sz val="16"/>
      <color theme="10"/>
      <name val="Aptos Narrow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sz val="20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22"/>
      <color theme="1"/>
      <name val="Aptos Narrow"/>
      <scheme val="minor"/>
    </font>
    <font>
      <sz val="16"/>
      <color theme="2" tint="-0.499984740745262"/>
      <name val="Aptos Narrow"/>
      <scheme val="minor"/>
    </font>
    <font>
      <sz val="15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Aptos Narrow"/>
      <scheme val="minor"/>
    </font>
    <font>
      <sz val="12"/>
      <color rgb="FF6A9955"/>
      <name val="Menlo"/>
      <family val="2"/>
    </font>
    <font>
      <b/>
      <sz val="12"/>
      <color theme="1"/>
      <name val="Aptos Narrow"/>
      <scheme val="minor"/>
    </font>
    <font>
      <sz val="13"/>
      <color theme="1"/>
      <name val="Helvetica"/>
      <family val="2"/>
    </font>
    <font>
      <b/>
      <sz val="14"/>
      <color theme="1"/>
      <name val="Aptos Narrow"/>
      <scheme val="minor"/>
    </font>
    <font>
      <b/>
      <sz val="1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1" applyFont="1" applyAlignment="1">
      <alignment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1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3" fillId="0" borderId="0" xfId="1" applyFont="1" applyAlignment="1">
      <alignment wrapText="1"/>
    </xf>
    <xf numFmtId="0" fontId="12" fillId="0" borderId="0" xfId="0" applyFont="1" applyAlignment="1">
      <alignment horizontal="center" vertical="top" wrapText="1"/>
    </xf>
    <xf numFmtId="0" fontId="13" fillId="0" borderId="0" xfId="0" applyFont="1"/>
    <xf numFmtId="0" fontId="15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6" fillId="0" borderId="0" xfId="0" applyFont="1" applyAlignment="1">
      <alignment vertical="top" wrapText="1"/>
    </xf>
    <xf numFmtId="1" fontId="4" fillId="0" borderId="0" xfId="0" applyNumberFormat="1" applyFont="1" applyAlignment="1">
      <alignment horizontal="right"/>
    </xf>
    <xf numFmtId="0" fontId="17" fillId="0" borderId="0" xfId="0" applyFont="1"/>
    <xf numFmtId="0" fontId="18" fillId="0" borderId="0" xfId="0" applyFont="1"/>
    <xf numFmtId="0" fontId="21" fillId="0" borderId="0" xfId="0" applyFont="1"/>
    <xf numFmtId="2" fontId="21" fillId="0" borderId="0" xfId="0" applyNumberFormat="1" applyFont="1"/>
    <xf numFmtId="0" fontId="19" fillId="0" borderId="0" xfId="0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 wrapText="1"/>
    </xf>
    <xf numFmtId="2" fontId="21" fillId="0" borderId="0" xfId="0" applyNumberFormat="1" applyFont="1" applyAlignment="1">
      <alignment horizontal="center"/>
    </xf>
    <xf numFmtId="164" fontId="0" fillId="0" borderId="0" xfId="0" applyNumberFormat="1"/>
    <xf numFmtId="0" fontId="12" fillId="0" borderId="0" xfId="0" applyFont="1"/>
    <xf numFmtId="165" fontId="21" fillId="0" borderId="0" xfId="0" applyNumberFormat="1" applyFont="1"/>
    <xf numFmtId="165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  <xf numFmtId="2" fontId="22" fillId="0" borderId="0" xfId="0" applyNumberFormat="1" applyFont="1"/>
    <xf numFmtId="0" fontId="23" fillId="0" borderId="0" xfId="0" applyFont="1"/>
    <xf numFmtId="166" fontId="21" fillId="0" borderId="0" xfId="0" applyNumberFormat="1" applyFont="1" applyAlignment="1">
      <alignment horizontal="center"/>
    </xf>
    <xf numFmtId="11" fontId="21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horizontal="center"/>
    </xf>
    <xf numFmtId="0" fontId="24" fillId="0" borderId="0" xfId="0" applyFont="1"/>
    <xf numFmtId="11" fontId="20" fillId="0" borderId="0" xfId="0" applyNumberFormat="1" applyFont="1" applyAlignment="1">
      <alignment horizontal="center"/>
    </xf>
    <xf numFmtId="0" fontId="25" fillId="0" borderId="0" xfId="0" applyFont="1"/>
    <xf numFmtId="11" fontId="26" fillId="0" borderId="0" xfId="0" applyNumberFormat="1" applyFont="1"/>
    <xf numFmtId="11" fontId="21" fillId="0" borderId="0" xfId="0" applyNumberFormat="1" applyFont="1" applyAlignment="1">
      <alignment horizontal="center" wrapText="1"/>
    </xf>
    <xf numFmtId="0" fontId="18" fillId="0" borderId="0" xfId="0" applyFont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3</xdr:row>
      <xdr:rowOff>76200</xdr:rowOff>
    </xdr:from>
    <xdr:to>
      <xdr:col>9</xdr:col>
      <xdr:colOff>990600</xdr:colOff>
      <xdr:row>15</xdr:row>
      <xdr:rowOff>169333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31A0CC-C111-407B-6386-905415232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4100" y="825500"/>
          <a:ext cx="4140200" cy="27601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c3766" id="{D96E5732-A606-804F-89A0-4CCF0D98DD97}" userId="S::ec3766@adcu.columbia.edu::665e348e-3902-4d49-96c5-a806c7688c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" dT="2025-06-13T00:20:48.34" personId="{D96E5732-A606-804F-89A0-4CCF0D98DD97}" id="{E4934587-327F-B541-8084-D24B78FA2E20}">
    <text>Can calculate from hourly outflow data once queried from ACE</text>
  </threadedComment>
  <threadedComment ref="A22" dT="2025-06-13T18:51:40.09" personId="{D96E5732-A606-804F-89A0-4CCF0D98DD97}" id="{00BC6A4A-5799-1945-A5A2-81E3D104E5AB}">
    <text>Could inference from hourly torbay elevation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wd-wc.usace.army.mil/dd/common/projects/www/rrh.html" TargetMode="External"/><Relationship Id="rId3" Type="http://schemas.openxmlformats.org/officeDocument/2006/relationships/hyperlink" Target="https://www.nwd-wc.usace.army.mil/dd/common/projects/www/jda.html" TargetMode="External"/><Relationship Id="rId7" Type="http://schemas.openxmlformats.org/officeDocument/2006/relationships/hyperlink" Target="https://www.nwd-wc.usace.army.mil/dd/common/projects/www/ris.html" TargetMode="External"/><Relationship Id="rId2" Type="http://schemas.openxmlformats.org/officeDocument/2006/relationships/hyperlink" Target="https://www.nwd-wc.usace.army.mil/dd/common/projects/www/bon.html" TargetMode="External"/><Relationship Id="rId1" Type="http://schemas.openxmlformats.org/officeDocument/2006/relationships/hyperlink" Target="https://www.nwd-wc.usace.army.mil/dd/common/projects/www/tda.html" TargetMode="External"/><Relationship Id="rId6" Type="http://schemas.openxmlformats.org/officeDocument/2006/relationships/hyperlink" Target="https://www.nwd-wc.usace.army.mil/dd/common/projects/www/wan.html" TargetMode="External"/><Relationship Id="rId11" Type="http://schemas.openxmlformats.org/officeDocument/2006/relationships/hyperlink" Target="https://www.nwd-wc.usace.army.mil/dd/common/projects/www/gcl.html" TargetMode="External"/><Relationship Id="rId5" Type="http://schemas.openxmlformats.org/officeDocument/2006/relationships/hyperlink" Target="https://www.nwd-wc.usace.army.mil/dd/common/projects/www/prd.html" TargetMode="External"/><Relationship Id="rId10" Type="http://schemas.openxmlformats.org/officeDocument/2006/relationships/hyperlink" Target="https://www.nwd-wc.usace.army.mil/dd/common/projects/www/chj.html" TargetMode="External"/><Relationship Id="rId4" Type="http://schemas.openxmlformats.org/officeDocument/2006/relationships/hyperlink" Target="https://www.nwd-wc.usace.army.mil/dd/common/projects/www/mcn.html" TargetMode="External"/><Relationship Id="rId9" Type="http://schemas.openxmlformats.org/officeDocument/2006/relationships/hyperlink" Target="https://www.nwd-wc.usace.army.mil/dd/common/projects/www/wel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759A-88E3-AC40-9138-3704E9D6A5FC}">
  <dimension ref="A1:L20"/>
  <sheetViews>
    <sheetView tabSelected="1" zoomScale="124" zoomScaleNormal="125" workbookViewId="0">
      <selection activeCell="G2" sqref="G2"/>
    </sheetView>
  </sheetViews>
  <sheetFormatPr baseColWidth="10" defaultRowHeight="22" x14ac:dyDescent="0.3"/>
  <cols>
    <col min="1" max="1" width="5.83203125" style="2" customWidth="1"/>
    <col min="2" max="3" width="27.5" style="5" customWidth="1"/>
    <col min="4" max="4" width="21.6640625" style="5" customWidth="1"/>
    <col min="5" max="5" width="19.33203125" style="13" customWidth="1"/>
    <col min="6" max="6" width="19.6640625" style="5" customWidth="1"/>
    <col min="7" max="7" width="16.83203125" style="5" customWidth="1"/>
    <col min="8" max="8" width="14.1640625" style="5" customWidth="1"/>
    <col min="9" max="10" width="16.33203125" style="2" customWidth="1"/>
    <col min="11" max="11" width="12.5" style="2" customWidth="1"/>
    <col min="12" max="12" width="18.33203125" style="2" customWidth="1"/>
    <col min="13" max="16384" width="10.83203125" style="2"/>
  </cols>
  <sheetData>
    <row r="1" spans="1:12" s="10" customFormat="1" ht="46" x14ac:dyDescent="0.2">
      <c r="A1" s="7" t="s">
        <v>0</v>
      </c>
      <c r="B1" s="8" t="s">
        <v>1</v>
      </c>
      <c r="C1" s="8" t="s">
        <v>53</v>
      </c>
      <c r="D1" s="8" t="s">
        <v>2</v>
      </c>
      <c r="E1" s="9" t="s">
        <v>9</v>
      </c>
      <c r="F1" s="8" t="s">
        <v>11</v>
      </c>
      <c r="G1" s="8" t="s">
        <v>12</v>
      </c>
      <c r="H1" s="8" t="s">
        <v>10</v>
      </c>
      <c r="I1" s="8" t="s">
        <v>52</v>
      </c>
      <c r="J1" s="8" t="s">
        <v>75</v>
      </c>
      <c r="K1" s="8" t="s">
        <v>25</v>
      </c>
      <c r="L1" s="17" t="s">
        <v>23</v>
      </c>
    </row>
    <row r="2" spans="1:12" ht="22" customHeight="1" x14ac:dyDescent="0.3">
      <c r="A2" s="3">
        <v>1</v>
      </c>
      <c r="B2" s="4" t="s">
        <v>3</v>
      </c>
      <c r="C2" s="4" t="s">
        <v>54</v>
      </c>
      <c r="D2" s="4" t="s">
        <v>4</v>
      </c>
      <c r="E2" s="11" t="s">
        <v>5</v>
      </c>
      <c r="F2" s="4">
        <v>14128870</v>
      </c>
      <c r="G2" s="4">
        <v>14128600</v>
      </c>
      <c r="H2" s="16" t="s">
        <v>6</v>
      </c>
      <c r="I2" s="2">
        <v>77</v>
      </c>
      <c r="J2" s="2">
        <v>70</v>
      </c>
      <c r="K2" s="12" t="s">
        <v>24</v>
      </c>
      <c r="L2" s="2">
        <v>40</v>
      </c>
    </row>
    <row r="3" spans="1:12" ht="46" customHeight="1" x14ac:dyDescent="0.3">
      <c r="A3" s="3">
        <v>2</v>
      </c>
      <c r="B3" s="4" t="s">
        <v>15</v>
      </c>
      <c r="C3" s="4" t="s">
        <v>54</v>
      </c>
      <c r="D3" s="4" t="s">
        <v>4</v>
      </c>
      <c r="E3" s="11">
        <v>1780</v>
      </c>
      <c r="F3" s="4">
        <v>14105700</v>
      </c>
      <c r="G3" s="4"/>
      <c r="H3" s="6" t="s">
        <v>6</v>
      </c>
      <c r="I3" s="2">
        <v>160</v>
      </c>
      <c r="J3" s="2">
        <v>155</v>
      </c>
      <c r="K3" s="23">
        <v>330000</v>
      </c>
      <c r="L3" s="2">
        <v>25</v>
      </c>
    </row>
    <row r="4" spans="1:12" ht="22" customHeight="1" x14ac:dyDescent="0.3">
      <c r="A4" s="3">
        <v>3</v>
      </c>
      <c r="B4" s="4" t="s">
        <v>7</v>
      </c>
      <c r="C4" s="4" t="s">
        <v>55</v>
      </c>
      <c r="D4" s="4" t="s">
        <v>4</v>
      </c>
      <c r="E4" s="11" t="s">
        <v>8</v>
      </c>
      <c r="F4" s="4"/>
      <c r="H4" s="16" t="s">
        <v>6</v>
      </c>
      <c r="I4" s="29">
        <v>276.5</v>
      </c>
      <c r="J4" s="29">
        <v>257</v>
      </c>
      <c r="K4" s="23">
        <v>534000</v>
      </c>
      <c r="L4" s="2">
        <v>85</v>
      </c>
    </row>
    <row r="5" spans="1:12" ht="23" x14ac:dyDescent="0.3">
      <c r="A5" s="3">
        <v>4</v>
      </c>
      <c r="B5" s="4" t="s">
        <v>56</v>
      </c>
      <c r="C5" s="4" t="s">
        <v>54</v>
      </c>
      <c r="D5" s="4" t="s">
        <v>4</v>
      </c>
      <c r="E5" s="11">
        <v>980</v>
      </c>
      <c r="F5" s="4"/>
      <c r="H5" s="16" t="s">
        <v>6</v>
      </c>
      <c r="I5" s="29">
        <v>357</v>
      </c>
      <c r="J5" s="29">
        <v>330</v>
      </c>
      <c r="K5" s="22" t="s">
        <v>59</v>
      </c>
      <c r="L5" s="2">
        <v>110</v>
      </c>
    </row>
    <row r="6" spans="1:12" ht="23" x14ac:dyDescent="0.3">
      <c r="A6" s="2">
        <v>5</v>
      </c>
      <c r="B6" s="4" t="s">
        <v>60</v>
      </c>
      <c r="C6" s="4" t="s">
        <v>54</v>
      </c>
      <c r="D6" s="5" t="s">
        <v>61</v>
      </c>
      <c r="E6" s="28">
        <v>955</v>
      </c>
      <c r="F6" s="5">
        <v>12472800</v>
      </c>
      <c r="H6" s="16" t="s">
        <v>6</v>
      </c>
      <c r="I6" s="29"/>
      <c r="J6" s="29"/>
      <c r="K6" s="23">
        <v>237100</v>
      </c>
      <c r="L6" s="2">
        <v>20</v>
      </c>
    </row>
    <row r="7" spans="1:12" ht="23" x14ac:dyDescent="0.3">
      <c r="A7" s="2">
        <v>6</v>
      </c>
      <c r="B7" s="5" t="s">
        <v>65</v>
      </c>
      <c r="C7" s="5" t="s">
        <v>54</v>
      </c>
      <c r="D7" s="5" t="s">
        <v>61</v>
      </c>
      <c r="E7" s="28">
        <v>1092</v>
      </c>
      <c r="H7" s="16" t="s">
        <v>6</v>
      </c>
      <c r="I7" s="29"/>
      <c r="J7" s="29"/>
      <c r="K7" s="23">
        <v>796000</v>
      </c>
      <c r="L7" s="2">
        <v>55</v>
      </c>
    </row>
    <row r="8" spans="1:12" ht="23" x14ac:dyDescent="0.3">
      <c r="A8" s="2">
        <v>7</v>
      </c>
      <c r="B8" s="5" t="s">
        <v>67</v>
      </c>
      <c r="C8" s="5" t="s">
        <v>54</v>
      </c>
      <c r="D8" s="5" t="s">
        <v>61</v>
      </c>
      <c r="E8" s="28">
        <v>624</v>
      </c>
      <c r="H8" s="16" t="s">
        <v>6</v>
      </c>
      <c r="I8" s="29"/>
      <c r="J8" s="29"/>
      <c r="K8" s="23">
        <v>131000</v>
      </c>
      <c r="L8" s="2">
        <v>20</v>
      </c>
    </row>
    <row r="9" spans="1:12" ht="23" x14ac:dyDescent="0.3">
      <c r="A9" s="2">
        <v>8</v>
      </c>
      <c r="B9" s="5" t="s">
        <v>68</v>
      </c>
      <c r="C9" s="5" t="s">
        <v>54</v>
      </c>
      <c r="D9" s="5" t="s">
        <v>61</v>
      </c>
      <c r="E9" s="28">
        <v>1300</v>
      </c>
      <c r="H9" s="16" t="s">
        <v>6</v>
      </c>
      <c r="I9" s="29"/>
      <c r="J9" s="29"/>
      <c r="K9" s="23">
        <v>382000</v>
      </c>
      <c r="L9" s="2">
        <v>45</v>
      </c>
    </row>
    <row r="10" spans="1:12" ht="23" x14ac:dyDescent="0.3">
      <c r="A10" s="2">
        <v>9</v>
      </c>
      <c r="B10" s="5" t="s">
        <v>69</v>
      </c>
      <c r="C10" s="5" t="s">
        <v>54</v>
      </c>
      <c r="D10" s="5" t="s">
        <v>61</v>
      </c>
      <c r="E10" s="28">
        <v>773</v>
      </c>
      <c r="H10" s="16" t="s">
        <v>6</v>
      </c>
      <c r="I10" s="29"/>
      <c r="J10" s="29"/>
      <c r="K10" s="23">
        <v>331200</v>
      </c>
      <c r="L10" s="2">
        <v>20</v>
      </c>
    </row>
    <row r="11" spans="1:12" ht="23" x14ac:dyDescent="0.3">
      <c r="A11" s="2">
        <v>10</v>
      </c>
      <c r="B11" s="5" t="s">
        <v>70</v>
      </c>
      <c r="C11" s="5" t="s">
        <v>54</v>
      </c>
      <c r="D11" s="5" t="s">
        <v>4</v>
      </c>
      <c r="E11" s="28">
        <v>2100</v>
      </c>
      <c r="H11" s="16" t="s">
        <v>6</v>
      </c>
      <c r="I11" s="29">
        <v>958.8</v>
      </c>
      <c r="J11" s="29">
        <v>930</v>
      </c>
      <c r="K11" s="23">
        <v>518000</v>
      </c>
      <c r="L11" s="2">
        <v>45</v>
      </c>
    </row>
    <row r="12" spans="1:12" ht="23" x14ac:dyDescent="0.3">
      <c r="A12" s="2">
        <v>11</v>
      </c>
      <c r="B12" s="5" t="s">
        <v>71</v>
      </c>
      <c r="C12" s="5" t="s">
        <v>55</v>
      </c>
      <c r="D12" s="5" t="s">
        <v>76</v>
      </c>
      <c r="E12" s="28">
        <v>6494</v>
      </c>
      <c r="H12" s="16" t="s">
        <v>6</v>
      </c>
      <c r="I12" s="29">
        <v>1290</v>
      </c>
      <c r="J12" s="29">
        <v>1208</v>
      </c>
      <c r="K12" s="23">
        <v>5185400</v>
      </c>
    </row>
    <row r="13" spans="1:12" x14ac:dyDescent="0.3">
      <c r="K13" s="22"/>
    </row>
    <row r="14" spans="1:12" x14ac:dyDescent="0.3">
      <c r="K14" s="22"/>
    </row>
    <row r="15" spans="1:12" x14ac:dyDescent="0.3">
      <c r="K15" s="22"/>
    </row>
    <row r="16" spans="1:12" x14ac:dyDescent="0.3">
      <c r="K16" s="22"/>
    </row>
    <row r="17" spans="11:11" x14ac:dyDescent="0.3">
      <c r="K17" s="22"/>
    </row>
    <row r="18" spans="11:11" x14ac:dyDescent="0.3">
      <c r="K18" s="22"/>
    </row>
    <row r="19" spans="11:11" x14ac:dyDescent="0.3">
      <c r="K19" s="22"/>
    </row>
    <row r="20" spans="11:11" x14ac:dyDescent="0.3">
      <c r="K20" s="22"/>
    </row>
  </sheetData>
  <hyperlinks>
    <hyperlink ref="H3" r:id="rId1" display="https://www.nwd-wc.usace.army.mil/dd/common/projects/www/tda.html" xr:uid="{A69C75E8-6332-484A-85DD-CD1E73EF5E9B}"/>
    <hyperlink ref="H2" r:id="rId2" xr:uid="{52B16AD6-16C3-8E42-B9AA-A9B2BFE6916C}"/>
    <hyperlink ref="H4" r:id="rId3" xr:uid="{F8E3013C-883C-764C-8197-6BAAFA92A081}"/>
    <hyperlink ref="H5" r:id="rId4" xr:uid="{25FB1D01-E511-8443-A5A5-AFD1A9E93B64}"/>
    <hyperlink ref="H6" r:id="rId5" xr:uid="{E980DC50-D9B4-6C45-8F13-7E7B0D1FE4B0}"/>
    <hyperlink ref="H7" r:id="rId6" xr:uid="{42F129BF-0AF7-BE4C-8AD9-28A0F7FA820E}"/>
    <hyperlink ref="H8" r:id="rId7" xr:uid="{6B1B13DC-097C-6648-808C-B85CF19DA3F2}"/>
    <hyperlink ref="H9" r:id="rId8" xr:uid="{47D30A8A-CDCB-8F46-97D3-7F4D62B98911}"/>
    <hyperlink ref="H10" r:id="rId9" xr:uid="{EBE28422-EBFC-D84B-BD2E-79E2D1A72B63}"/>
    <hyperlink ref="H11" r:id="rId10" xr:uid="{47D3F66F-90DA-DF4E-856D-108578F0CFE7}"/>
    <hyperlink ref="H12" r:id="rId11" xr:uid="{DF516AA2-4C21-6C48-8E50-651486AE5994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08DC-B182-A544-B60A-AB068FE2E834}">
  <dimension ref="A1:F22"/>
  <sheetViews>
    <sheetView workbookViewId="0">
      <selection activeCell="I8" sqref="I8"/>
    </sheetView>
  </sheetViews>
  <sheetFormatPr baseColWidth="10" defaultRowHeight="16" x14ac:dyDescent="0.2"/>
  <cols>
    <col min="1" max="1" width="29.1640625" customWidth="1"/>
    <col min="2" max="2" width="22.6640625" customWidth="1"/>
    <col min="3" max="3" width="24.1640625" customWidth="1"/>
    <col min="4" max="4" width="21.33203125" customWidth="1"/>
    <col min="5" max="5" width="21.83203125" customWidth="1"/>
    <col min="6" max="6" width="24.83203125" customWidth="1"/>
  </cols>
  <sheetData>
    <row r="1" spans="1:6" s="15" customFormat="1" ht="81" customHeight="1" x14ac:dyDescent="0.2">
      <c r="A1" s="14" t="s">
        <v>13</v>
      </c>
      <c r="B1" s="15" t="s">
        <v>14</v>
      </c>
      <c r="C1" s="15" t="s">
        <v>15</v>
      </c>
      <c r="D1" s="15" t="s">
        <v>51</v>
      </c>
      <c r="E1" s="15" t="s">
        <v>56</v>
      </c>
      <c r="F1" s="27" t="s">
        <v>70</v>
      </c>
    </row>
    <row r="2" spans="1:6" ht="22" x14ac:dyDescent="0.3">
      <c r="A2" s="1" t="s">
        <v>22</v>
      </c>
      <c r="B2">
        <v>1</v>
      </c>
      <c r="C2">
        <v>1</v>
      </c>
      <c r="D2">
        <v>1</v>
      </c>
      <c r="E2">
        <v>1</v>
      </c>
      <c r="F2">
        <v>1</v>
      </c>
    </row>
    <row r="3" spans="1:6" ht="22" x14ac:dyDescent="0.3">
      <c r="A3" s="1" t="s">
        <v>16</v>
      </c>
      <c r="B3">
        <v>1</v>
      </c>
      <c r="C3">
        <v>1</v>
      </c>
      <c r="D3">
        <v>1</v>
      </c>
      <c r="E3">
        <v>1</v>
      </c>
      <c r="F3">
        <v>1</v>
      </c>
    </row>
    <row r="4" spans="1:6" ht="22" x14ac:dyDescent="0.3">
      <c r="A4" s="1" t="s">
        <v>21</v>
      </c>
      <c r="B4">
        <v>1</v>
      </c>
      <c r="C4">
        <v>1</v>
      </c>
      <c r="D4">
        <v>1</v>
      </c>
      <c r="E4">
        <v>1</v>
      </c>
      <c r="F4">
        <v>1</v>
      </c>
    </row>
    <row r="5" spans="1:6" ht="22" x14ac:dyDescent="0.3">
      <c r="A5" s="1" t="s">
        <v>17</v>
      </c>
      <c r="B5">
        <v>1</v>
      </c>
      <c r="C5">
        <v>1</v>
      </c>
      <c r="D5">
        <v>1</v>
      </c>
      <c r="E5">
        <v>1</v>
      </c>
      <c r="F5">
        <v>1</v>
      </c>
    </row>
    <row r="6" spans="1:6" ht="22" x14ac:dyDescent="0.3">
      <c r="A6" s="1" t="s">
        <v>18</v>
      </c>
      <c r="B6">
        <v>1</v>
      </c>
      <c r="C6">
        <v>1</v>
      </c>
      <c r="D6">
        <v>1</v>
      </c>
      <c r="E6">
        <v>1</v>
      </c>
      <c r="F6">
        <v>1</v>
      </c>
    </row>
    <row r="7" spans="1:6" ht="22" x14ac:dyDescent="0.3">
      <c r="A7" s="1" t="s">
        <v>19</v>
      </c>
      <c r="B7">
        <v>1</v>
      </c>
      <c r="C7">
        <v>1</v>
      </c>
      <c r="D7">
        <v>1</v>
      </c>
      <c r="E7">
        <v>1</v>
      </c>
      <c r="F7">
        <v>1</v>
      </c>
    </row>
    <row r="8" spans="1:6" ht="22" x14ac:dyDescent="0.3">
      <c r="A8" s="1" t="s">
        <v>20</v>
      </c>
      <c r="B8">
        <v>1</v>
      </c>
      <c r="C8">
        <v>1</v>
      </c>
      <c r="D8">
        <v>1</v>
      </c>
      <c r="E8">
        <v>1</v>
      </c>
      <c r="F8">
        <v>1</v>
      </c>
    </row>
    <row r="9" spans="1:6" ht="22" x14ac:dyDescent="0.3">
      <c r="A9" s="1"/>
    </row>
    <row r="10" spans="1:6" ht="22" x14ac:dyDescent="0.3">
      <c r="A10" s="1" t="s">
        <v>26</v>
      </c>
      <c r="B10">
        <v>0.9</v>
      </c>
    </row>
    <row r="11" spans="1:6" ht="22" x14ac:dyDescent="0.3">
      <c r="A11" s="1" t="s">
        <v>57</v>
      </c>
    </row>
    <row r="12" spans="1:6" ht="22" x14ac:dyDescent="0.3">
      <c r="A12" s="1" t="s">
        <v>58</v>
      </c>
      <c r="B12">
        <v>10</v>
      </c>
      <c r="C12">
        <v>30</v>
      </c>
      <c r="D12">
        <v>20</v>
      </c>
    </row>
    <row r="13" spans="1:6" ht="22" x14ac:dyDescent="0.3">
      <c r="A13" s="1"/>
    </row>
    <row r="14" spans="1:6" s="26" customFormat="1" ht="84" x14ac:dyDescent="0.2">
      <c r="A14" s="14" t="s">
        <v>62</v>
      </c>
      <c r="B14" s="15" t="s">
        <v>63</v>
      </c>
      <c r="C14" s="25" t="s">
        <v>66</v>
      </c>
      <c r="D14" s="25" t="s">
        <v>72</v>
      </c>
      <c r="E14" s="25" t="s">
        <v>73</v>
      </c>
      <c r="F14" s="25" t="s">
        <v>74</v>
      </c>
    </row>
    <row r="15" spans="1:6" ht="22" x14ac:dyDescent="0.3">
      <c r="A15" s="1" t="s">
        <v>22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ht="22" x14ac:dyDescent="0.3">
      <c r="A16" s="1" t="s">
        <v>16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ht="22" x14ac:dyDescent="0.3">
      <c r="A17" s="1" t="s">
        <v>21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ht="22" x14ac:dyDescent="0.3">
      <c r="A18" s="1" t="s">
        <v>17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ht="22" x14ac:dyDescent="0.3">
      <c r="A19" s="1" t="s">
        <v>18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ht="22" x14ac:dyDescent="0.3">
      <c r="A20" s="1" t="s">
        <v>19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ht="22" x14ac:dyDescent="0.3">
      <c r="A21" s="1" t="s">
        <v>20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ht="46" x14ac:dyDescent="0.3">
      <c r="A22" s="24" t="s">
        <v>64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70D3-5C38-3445-B4CB-083D2E3B0506}">
  <dimension ref="A1:Q90"/>
  <sheetViews>
    <sheetView workbookViewId="0">
      <selection activeCell="D58" sqref="D58"/>
    </sheetView>
  </sheetViews>
  <sheetFormatPr baseColWidth="10" defaultRowHeight="16" x14ac:dyDescent="0.2"/>
  <cols>
    <col min="1" max="1" width="12.33203125" customWidth="1"/>
    <col min="2" max="2" width="15.5" customWidth="1"/>
    <col min="3" max="3" width="17.83203125" customWidth="1"/>
    <col min="4" max="4" width="17.1640625" customWidth="1"/>
    <col min="5" max="8" width="22" customWidth="1"/>
    <col min="9" max="10" width="17.33203125" customWidth="1"/>
    <col min="11" max="11" width="21.33203125" customWidth="1"/>
  </cols>
  <sheetData>
    <row r="1" spans="1:17" s="20" customFormat="1" ht="84" customHeight="1" x14ac:dyDescent="0.2">
      <c r="A1" s="19" t="s">
        <v>27</v>
      </c>
      <c r="B1" s="19" t="s">
        <v>28</v>
      </c>
      <c r="C1" s="19" t="s">
        <v>29</v>
      </c>
      <c r="D1" s="19" t="s">
        <v>30</v>
      </c>
      <c r="E1" s="19" t="s">
        <v>31</v>
      </c>
      <c r="F1" s="19" t="s">
        <v>32</v>
      </c>
      <c r="G1" s="19" t="s">
        <v>46</v>
      </c>
      <c r="H1" s="19" t="s">
        <v>47</v>
      </c>
      <c r="I1" s="19" t="s">
        <v>33</v>
      </c>
      <c r="J1" s="19" t="s">
        <v>34</v>
      </c>
      <c r="K1" s="21" t="s">
        <v>35</v>
      </c>
      <c r="L1" s="21" t="s">
        <v>36</v>
      </c>
      <c r="M1" s="21" t="s">
        <v>37</v>
      </c>
      <c r="N1" s="21" t="s">
        <v>38</v>
      </c>
      <c r="O1" s="21" t="s">
        <v>39</v>
      </c>
      <c r="P1" s="21" t="s">
        <v>40</v>
      </c>
      <c r="Q1" s="21" t="s">
        <v>41</v>
      </c>
    </row>
    <row r="2" spans="1:17" x14ac:dyDescent="0.2">
      <c r="A2" s="18">
        <v>1</v>
      </c>
      <c r="B2" s="18">
        <v>6371</v>
      </c>
      <c r="C2" s="18">
        <v>265</v>
      </c>
      <c r="D2" s="18">
        <v>96</v>
      </c>
      <c r="E2" s="18">
        <v>227.2</v>
      </c>
      <c r="F2" s="18">
        <v>229.2</v>
      </c>
      <c r="G2" s="18"/>
      <c r="H2" s="18"/>
      <c r="I2" s="18">
        <v>65.900000000000006</v>
      </c>
      <c r="J2" s="18">
        <v>150.9</v>
      </c>
      <c r="K2" s="18">
        <v>73.099999999999994</v>
      </c>
      <c r="L2" s="18">
        <v>73.3</v>
      </c>
      <c r="M2" s="18">
        <v>18.7</v>
      </c>
      <c r="N2" s="18">
        <v>54.6</v>
      </c>
      <c r="O2" s="18">
        <v>18.600000000000001</v>
      </c>
      <c r="P2" s="18">
        <v>5659</v>
      </c>
      <c r="Q2" s="18">
        <v>58.7</v>
      </c>
    </row>
    <row r="3" spans="1:17" x14ac:dyDescent="0.2">
      <c r="A3" s="18">
        <v>2</v>
      </c>
      <c r="B3" s="18">
        <v>5713</v>
      </c>
      <c r="C3" s="18">
        <v>238</v>
      </c>
      <c r="D3" s="18">
        <v>96</v>
      </c>
      <c r="E3" s="18">
        <v>232.4</v>
      </c>
      <c r="F3" s="18">
        <v>222.4</v>
      </c>
      <c r="G3" s="18">
        <f>F2</f>
        <v>229.2</v>
      </c>
      <c r="H3" s="18">
        <f>G3-F3</f>
        <v>6.7999999999999829</v>
      </c>
      <c r="I3" s="18">
        <v>58.4</v>
      </c>
      <c r="J3" s="18">
        <v>151.6</v>
      </c>
      <c r="K3" s="18">
        <v>74.400000000000006</v>
      </c>
      <c r="L3" s="18">
        <v>73.8</v>
      </c>
      <c r="M3" s="18">
        <v>18.3</v>
      </c>
      <c r="N3" s="18">
        <v>55.5</v>
      </c>
      <c r="O3" s="18">
        <v>18.2</v>
      </c>
      <c r="P3" s="18">
        <v>5594</v>
      </c>
      <c r="Q3" s="18">
        <v>57.2</v>
      </c>
    </row>
    <row r="4" spans="1:17" x14ac:dyDescent="0.2">
      <c r="A4" s="18">
        <v>3</v>
      </c>
      <c r="B4" s="18">
        <v>5271</v>
      </c>
      <c r="C4" s="18">
        <v>220</v>
      </c>
      <c r="D4" s="18">
        <v>96</v>
      </c>
      <c r="E4" s="18">
        <v>205.5</v>
      </c>
      <c r="F4" s="18">
        <v>215.5</v>
      </c>
      <c r="G4" s="18">
        <f t="shared" ref="G4:G32" si="0">F3</f>
        <v>222.4</v>
      </c>
      <c r="H4" s="18">
        <f t="shared" ref="H4:H32" si="1">G4-F4</f>
        <v>6.9000000000000057</v>
      </c>
      <c r="I4" s="18">
        <v>53.4</v>
      </c>
      <c r="J4" s="18">
        <v>149.69999999999999</v>
      </c>
      <c r="K4" s="18">
        <v>73.3</v>
      </c>
      <c r="L4" s="18">
        <v>74.099999999999994</v>
      </c>
      <c r="M4" s="18">
        <v>18</v>
      </c>
      <c r="N4" s="18">
        <v>56.1</v>
      </c>
      <c r="O4" s="18">
        <v>17.899999999999999</v>
      </c>
      <c r="P4" s="18">
        <v>5061</v>
      </c>
      <c r="Q4" s="18">
        <v>51.3</v>
      </c>
    </row>
    <row r="5" spans="1:17" x14ac:dyDescent="0.2">
      <c r="A5" s="18">
        <v>4</v>
      </c>
      <c r="B5" s="18">
        <v>5160</v>
      </c>
      <c r="C5" s="18">
        <v>215</v>
      </c>
      <c r="D5" s="18">
        <v>96</v>
      </c>
      <c r="E5" s="18">
        <v>217.5</v>
      </c>
      <c r="F5" s="18">
        <v>213.5</v>
      </c>
      <c r="G5" s="18">
        <f t="shared" si="0"/>
        <v>215.5</v>
      </c>
      <c r="H5" s="18">
        <f t="shared" si="1"/>
        <v>2</v>
      </c>
      <c r="I5" s="18">
        <v>52.3</v>
      </c>
      <c r="J5" s="18">
        <v>148.80000000000001</v>
      </c>
      <c r="K5" s="18">
        <v>73.5</v>
      </c>
      <c r="L5" s="18">
        <v>73.5</v>
      </c>
      <c r="M5" s="18">
        <v>17.7</v>
      </c>
      <c r="N5" s="18">
        <v>55.8</v>
      </c>
      <c r="O5" s="18">
        <v>17.600000000000001</v>
      </c>
      <c r="P5" s="18">
        <v>5160</v>
      </c>
      <c r="Q5" s="18">
        <v>52.3</v>
      </c>
    </row>
    <row r="6" spans="1:17" x14ac:dyDescent="0.2">
      <c r="A6" s="18">
        <v>5</v>
      </c>
      <c r="B6" s="18">
        <v>6762</v>
      </c>
      <c r="C6" s="18">
        <v>282</v>
      </c>
      <c r="D6" s="18">
        <v>96</v>
      </c>
      <c r="E6" s="18">
        <v>239.7</v>
      </c>
      <c r="F6" s="18">
        <v>230.7</v>
      </c>
      <c r="G6" s="18">
        <f t="shared" si="0"/>
        <v>213.5</v>
      </c>
      <c r="H6" s="18">
        <f t="shared" si="1"/>
        <v>-17.199999999999989</v>
      </c>
      <c r="I6" s="18">
        <v>69.099999999999994</v>
      </c>
      <c r="J6" s="18">
        <v>149.1</v>
      </c>
      <c r="K6" s="18">
        <v>74.400000000000006</v>
      </c>
      <c r="L6" s="18">
        <v>73.900000000000006</v>
      </c>
      <c r="M6" s="18">
        <v>18.5</v>
      </c>
      <c r="N6" s="18">
        <v>55.4</v>
      </c>
      <c r="O6" s="18">
        <v>18.399999999999999</v>
      </c>
      <c r="P6" s="18">
        <v>6626</v>
      </c>
      <c r="Q6" s="18">
        <v>67.8</v>
      </c>
    </row>
    <row r="7" spans="1:17" x14ac:dyDescent="0.2">
      <c r="A7" s="18">
        <v>6</v>
      </c>
      <c r="B7" s="18">
        <v>8091</v>
      </c>
      <c r="C7" s="18">
        <v>337</v>
      </c>
      <c r="D7" s="18">
        <v>96</v>
      </c>
      <c r="E7" s="18">
        <v>233.7</v>
      </c>
      <c r="F7" s="18">
        <v>246.7</v>
      </c>
      <c r="G7" s="18">
        <f t="shared" si="0"/>
        <v>230.7</v>
      </c>
      <c r="H7" s="18">
        <f t="shared" si="1"/>
        <v>-16</v>
      </c>
      <c r="I7" s="18">
        <v>85.3</v>
      </c>
      <c r="J7" s="18">
        <v>149</v>
      </c>
      <c r="K7" s="18">
        <v>73.099999999999994</v>
      </c>
      <c r="L7" s="18">
        <v>73.5</v>
      </c>
      <c r="M7" s="18">
        <v>19.399999999999999</v>
      </c>
      <c r="N7" s="18">
        <v>54.1</v>
      </c>
      <c r="O7" s="18">
        <v>19.3</v>
      </c>
      <c r="P7" s="18">
        <v>8091</v>
      </c>
      <c r="Q7" s="18">
        <v>85.3</v>
      </c>
    </row>
    <row r="8" spans="1:17" x14ac:dyDescent="0.2">
      <c r="A8" s="18">
        <v>7</v>
      </c>
      <c r="B8" s="18">
        <v>6330</v>
      </c>
      <c r="C8" s="18">
        <v>264</v>
      </c>
      <c r="D8" s="18">
        <v>96</v>
      </c>
      <c r="E8" s="18">
        <v>222.5</v>
      </c>
      <c r="F8" s="18">
        <v>227.5</v>
      </c>
      <c r="G8" s="18">
        <f t="shared" si="0"/>
        <v>246.7</v>
      </c>
      <c r="H8" s="18">
        <f t="shared" si="1"/>
        <v>19.199999999999989</v>
      </c>
      <c r="I8" s="18">
        <v>66.5</v>
      </c>
      <c r="J8" s="18">
        <v>148.6</v>
      </c>
      <c r="K8" s="18">
        <v>72.7</v>
      </c>
      <c r="L8" s="18">
        <v>72.8</v>
      </c>
      <c r="M8" s="18">
        <v>18.7</v>
      </c>
      <c r="N8" s="18">
        <v>54.1</v>
      </c>
      <c r="O8" s="18">
        <v>18.5</v>
      </c>
      <c r="P8" s="18">
        <v>6330</v>
      </c>
      <c r="Q8" s="18">
        <v>66.5</v>
      </c>
    </row>
    <row r="9" spans="1:17" x14ac:dyDescent="0.2">
      <c r="A9" s="18">
        <v>8</v>
      </c>
      <c r="B9" s="18">
        <v>6234</v>
      </c>
      <c r="C9" s="18">
        <v>260</v>
      </c>
      <c r="D9" s="18">
        <v>96</v>
      </c>
      <c r="E9" s="18">
        <v>228</v>
      </c>
      <c r="F9" s="18">
        <v>226</v>
      </c>
      <c r="G9" s="18">
        <f t="shared" si="0"/>
        <v>227.5</v>
      </c>
      <c r="H9" s="18">
        <f t="shared" si="1"/>
        <v>1.5</v>
      </c>
      <c r="I9" s="18">
        <v>65</v>
      </c>
      <c r="J9" s="18">
        <v>148.5</v>
      </c>
      <c r="K9" s="18">
        <v>72.5</v>
      </c>
      <c r="L9" s="18">
        <v>72.7</v>
      </c>
      <c r="M9" s="18">
        <v>18.3</v>
      </c>
      <c r="N9" s="18">
        <v>54.4</v>
      </c>
      <c r="O9" s="18">
        <v>18.2</v>
      </c>
      <c r="P9" s="18">
        <v>6086</v>
      </c>
      <c r="Q9" s="18">
        <v>63.5</v>
      </c>
    </row>
    <row r="10" spans="1:17" x14ac:dyDescent="0.2">
      <c r="A10" s="18">
        <v>9</v>
      </c>
      <c r="B10" s="18">
        <v>6766</v>
      </c>
      <c r="C10" s="18">
        <v>282</v>
      </c>
      <c r="D10" s="18">
        <v>96</v>
      </c>
      <c r="E10" s="18">
        <v>239.5</v>
      </c>
      <c r="F10" s="18">
        <v>232.5</v>
      </c>
      <c r="G10" s="18">
        <f t="shared" si="0"/>
        <v>226</v>
      </c>
      <c r="H10" s="18">
        <f t="shared" si="1"/>
        <v>-6.5</v>
      </c>
      <c r="I10" s="18">
        <v>70.599999999999994</v>
      </c>
      <c r="J10" s="18">
        <v>149.5</v>
      </c>
      <c r="K10" s="18">
        <v>73.599999999999994</v>
      </c>
      <c r="L10" s="18">
        <v>73.400000000000006</v>
      </c>
      <c r="M10" s="18">
        <v>18.7</v>
      </c>
      <c r="N10" s="18">
        <v>54.7</v>
      </c>
      <c r="O10" s="18">
        <v>18.600000000000001</v>
      </c>
      <c r="P10" s="18">
        <v>6766</v>
      </c>
      <c r="Q10" s="18">
        <v>70.5</v>
      </c>
    </row>
    <row r="11" spans="1:17" x14ac:dyDescent="0.2">
      <c r="A11" s="18">
        <v>10</v>
      </c>
      <c r="B11" s="18">
        <v>7488</v>
      </c>
      <c r="C11" s="18">
        <v>312</v>
      </c>
      <c r="D11" s="18">
        <v>96</v>
      </c>
      <c r="E11" s="18">
        <v>238.8</v>
      </c>
      <c r="F11" s="18">
        <v>240.8</v>
      </c>
      <c r="G11" s="18">
        <f t="shared" si="0"/>
        <v>232.5</v>
      </c>
      <c r="H11" s="18">
        <f t="shared" si="1"/>
        <v>-8.3000000000000114</v>
      </c>
      <c r="I11" s="18">
        <v>78.8</v>
      </c>
      <c r="J11" s="18">
        <v>149.5</v>
      </c>
      <c r="K11" s="18">
        <v>73.400000000000006</v>
      </c>
      <c r="L11" s="18">
        <v>73.3</v>
      </c>
      <c r="M11" s="18">
        <v>19.3</v>
      </c>
      <c r="N11" s="18">
        <v>54</v>
      </c>
      <c r="O11" s="18">
        <v>19.100000000000001</v>
      </c>
      <c r="P11" s="18">
        <v>7488</v>
      </c>
      <c r="Q11" s="18">
        <v>78.8</v>
      </c>
    </row>
    <row r="12" spans="1:17" x14ac:dyDescent="0.2">
      <c r="A12" s="18">
        <v>11</v>
      </c>
      <c r="B12" s="18">
        <v>7503</v>
      </c>
      <c r="C12" s="18">
        <v>313</v>
      </c>
      <c r="D12" s="18">
        <v>96</v>
      </c>
      <c r="E12" s="18">
        <v>250.9</v>
      </c>
      <c r="F12" s="18">
        <v>240.9</v>
      </c>
      <c r="G12" s="18">
        <f t="shared" si="0"/>
        <v>240.8</v>
      </c>
      <c r="H12" s="18">
        <f t="shared" si="1"/>
        <v>-9.9999999999994316E-2</v>
      </c>
      <c r="I12" s="18">
        <v>78.3</v>
      </c>
      <c r="J12" s="18">
        <v>150.19999999999999</v>
      </c>
      <c r="K12" s="18">
        <v>74.5</v>
      </c>
      <c r="L12" s="18">
        <v>73.7</v>
      </c>
      <c r="M12" s="18">
        <v>19.3</v>
      </c>
      <c r="N12" s="18">
        <v>54.4</v>
      </c>
      <c r="O12" s="18">
        <v>19.2</v>
      </c>
      <c r="P12" s="18">
        <v>7503</v>
      </c>
      <c r="Q12" s="18">
        <v>78.3</v>
      </c>
    </row>
    <row r="13" spans="1:17" x14ac:dyDescent="0.2">
      <c r="A13" s="18">
        <v>12</v>
      </c>
      <c r="B13" s="18">
        <v>10102</v>
      </c>
      <c r="C13" s="18">
        <v>421</v>
      </c>
      <c r="D13" s="18">
        <v>96</v>
      </c>
      <c r="E13" s="18">
        <v>263.3</v>
      </c>
      <c r="F13" s="18">
        <v>271.3</v>
      </c>
      <c r="G13" s="18">
        <f t="shared" si="0"/>
        <v>240.9</v>
      </c>
      <c r="H13" s="18">
        <f t="shared" si="1"/>
        <v>-30.400000000000006</v>
      </c>
      <c r="I13" s="18">
        <v>108.3</v>
      </c>
      <c r="J13" s="18">
        <v>150.6</v>
      </c>
      <c r="K13" s="18">
        <v>73.599999999999994</v>
      </c>
      <c r="L13" s="18">
        <v>74</v>
      </c>
      <c r="M13" s="18">
        <v>21</v>
      </c>
      <c r="N13" s="18">
        <v>53</v>
      </c>
      <c r="O13" s="18">
        <v>20.7</v>
      </c>
      <c r="P13" s="18">
        <v>8268</v>
      </c>
      <c r="Q13" s="18">
        <v>89</v>
      </c>
    </row>
    <row r="14" spans="1:17" x14ac:dyDescent="0.2">
      <c r="A14" s="18">
        <v>13</v>
      </c>
      <c r="B14" s="18">
        <v>9627</v>
      </c>
      <c r="C14" s="18">
        <v>401</v>
      </c>
      <c r="D14" s="18">
        <v>96</v>
      </c>
      <c r="E14" s="18">
        <v>261</v>
      </c>
      <c r="F14" s="18">
        <v>266</v>
      </c>
      <c r="G14" s="18">
        <f t="shared" si="0"/>
        <v>271.3</v>
      </c>
      <c r="H14" s="18">
        <f t="shared" si="1"/>
        <v>5.3000000000000114</v>
      </c>
      <c r="I14" s="18">
        <v>103.4</v>
      </c>
      <c r="J14" s="18">
        <v>150.19999999999999</v>
      </c>
      <c r="K14" s="18">
        <v>73.099999999999994</v>
      </c>
      <c r="L14" s="18">
        <v>73.7</v>
      </c>
      <c r="M14" s="18">
        <v>21</v>
      </c>
      <c r="N14" s="18">
        <v>52.7</v>
      </c>
      <c r="O14" s="18">
        <v>20.7</v>
      </c>
      <c r="P14" s="18">
        <v>7822</v>
      </c>
      <c r="Q14" s="18">
        <v>84.6</v>
      </c>
    </row>
    <row r="15" spans="1:17" x14ac:dyDescent="0.2">
      <c r="A15" s="18">
        <v>14</v>
      </c>
      <c r="B15" s="18">
        <v>5722</v>
      </c>
      <c r="C15" s="18">
        <v>238</v>
      </c>
      <c r="D15" s="18">
        <v>96</v>
      </c>
      <c r="E15" s="18">
        <v>231.6</v>
      </c>
      <c r="F15" s="18">
        <v>221.6</v>
      </c>
      <c r="G15" s="18">
        <f t="shared" si="0"/>
        <v>266</v>
      </c>
      <c r="H15" s="18">
        <f t="shared" si="1"/>
        <v>44.400000000000006</v>
      </c>
      <c r="I15" s="18">
        <v>59.4</v>
      </c>
      <c r="J15" s="18">
        <v>149.80000000000001</v>
      </c>
      <c r="K15" s="18">
        <v>74.099999999999994</v>
      </c>
      <c r="L15" s="18">
        <v>73.5</v>
      </c>
      <c r="M15" s="18">
        <v>18.7</v>
      </c>
      <c r="N15" s="18">
        <v>54.8</v>
      </c>
      <c r="O15" s="18">
        <v>18.600000000000001</v>
      </c>
      <c r="P15" s="18">
        <v>5722</v>
      </c>
      <c r="Q15" s="18">
        <v>59.4</v>
      </c>
    </row>
    <row r="16" spans="1:17" x14ac:dyDescent="0.2">
      <c r="A16" s="18">
        <v>15</v>
      </c>
      <c r="B16" s="18">
        <v>5165</v>
      </c>
      <c r="C16" s="18">
        <v>215</v>
      </c>
      <c r="D16" s="18">
        <v>96</v>
      </c>
      <c r="E16" s="18">
        <v>215.1</v>
      </c>
      <c r="F16" s="18">
        <v>215.1</v>
      </c>
      <c r="G16" s="18">
        <f t="shared" si="0"/>
        <v>221.6</v>
      </c>
      <c r="H16" s="18">
        <f t="shared" si="1"/>
        <v>6.5</v>
      </c>
      <c r="I16" s="18">
        <v>52.1</v>
      </c>
      <c r="J16" s="18">
        <v>150.5</v>
      </c>
      <c r="K16" s="18">
        <v>74.099999999999994</v>
      </c>
      <c r="L16" s="18">
        <v>74</v>
      </c>
      <c r="M16" s="18">
        <v>17.899999999999999</v>
      </c>
      <c r="N16" s="18">
        <v>56.1</v>
      </c>
      <c r="O16" s="18">
        <v>17.8</v>
      </c>
      <c r="P16" s="18">
        <v>5159</v>
      </c>
      <c r="Q16" s="18">
        <v>52.1</v>
      </c>
    </row>
    <row r="17" spans="1:17" x14ac:dyDescent="0.2">
      <c r="A17" s="18">
        <v>16</v>
      </c>
      <c r="B17" s="18">
        <v>4962</v>
      </c>
      <c r="C17" s="18">
        <v>207</v>
      </c>
      <c r="D17" s="18">
        <v>96</v>
      </c>
      <c r="E17" s="18">
        <v>210.6</v>
      </c>
      <c r="F17" s="18">
        <v>212.6</v>
      </c>
      <c r="G17" s="18">
        <f t="shared" si="0"/>
        <v>215.1</v>
      </c>
      <c r="H17" s="18">
        <f t="shared" si="1"/>
        <v>2.5</v>
      </c>
      <c r="I17" s="18">
        <v>50</v>
      </c>
      <c r="J17" s="18">
        <v>150.19999999999999</v>
      </c>
      <c r="K17" s="18">
        <v>73.900000000000006</v>
      </c>
      <c r="L17" s="18">
        <v>73.8</v>
      </c>
      <c r="M17" s="18">
        <v>17.7</v>
      </c>
      <c r="N17" s="18">
        <v>56.1</v>
      </c>
      <c r="O17" s="18">
        <v>17.5</v>
      </c>
      <c r="P17" s="18">
        <v>4962</v>
      </c>
      <c r="Q17" s="18">
        <v>50</v>
      </c>
    </row>
    <row r="18" spans="1:17" x14ac:dyDescent="0.2">
      <c r="A18" s="18">
        <v>17</v>
      </c>
      <c r="B18" s="18">
        <v>5386</v>
      </c>
      <c r="C18" s="18">
        <v>224</v>
      </c>
      <c r="D18" s="18">
        <v>96</v>
      </c>
      <c r="E18" s="18">
        <v>224.5</v>
      </c>
      <c r="F18" s="18">
        <v>217.5</v>
      </c>
      <c r="G18" s="18">
        <f t="shared" si="0"/>
        <v>212.6</v>
      </c>
      <c r="H18" s="18">
        <f t="shared" si="1"/>
        <v>-4.9000000000000057</v>
      </c>
      <c r="I18" s="18">
        <v>54.1</v>
      </c>
      <c r="J18" s="18">
        <v>151.1</v>
      </c>
      <c r="K18" s="18">
        <v>74.7</v>
      </c>
      <c r="L18" s="18">
        <v>74.3</v>
      </c>
      <c r="M18" s="18">
        <v>18</v>
      </c>
      <c r="N18" s="18">
        <v>56.3</v>
      </c>
      <c r="O18" s="18">
        <v>17.899999999999999</v>
      </c>
      <c r="P18" s="18">
        <v>5386</v>
      </c>
      <c r="Q18" s="18">
        <v>54.1</v>
      </c>
    </row>
    <row r="19" spans="1:17" x14ac:dyDescent="0.2">
      <c r="A19" s="18">
        <v>18</v>
      </c>
      <c r="B19" s="18">
        <v>4504</v>
      </c>
      <c r="C19" s="18">
        <v>188</v>
      </c>
      <c r="D19" s="18">
        <v>96</v>
      </c>
      <c r="E19" s="18">
        <v>204.2</v>
      </c>
      <c r="F19" s="18">
        <v>207.2</v>
      </c>
      <c r="G19" s="18">
        <f t="shared" si="0"/>
        <v>217.5</v>
      </c>
      <c r="H19" s="18">
        <f t="shared" si="1"/>
        <v>10.300000000000011</v>
      </c>
      <c r="I19" s="18">
        <v>44.8</v>
      </c>
      <c r="J19" s="18">
        <v>150.1</v>
      </c>
      <c r="K19" s="18">
        <v>74.400000000000006</v>
      </c>
      <c r="L19" s="18">
        <v>74.5</v>
      </c>
      <c r="M19" s="18">
        <v>17.5</v>
      </c>
      <c r="N19" s="18">
        <v>57</v>
      </c>
      <c r="O19" s="18">
        <v>17.399999999999999</v>
      </c>
      <c r="P19" s="18">
        <v>4504</v>
      </c>
      <c r="Q19" s="18">
        <v>44.8</v>
      </c>
    </row>
    <row r="20" spans="1:17" x14ac:dyDescent="0.2">
      <c r="A20" s="18">
        <v>19</v>
      </c>
      <c r="B20" s="18">
        <v>3349</v>
      </c>
      <c r="C20" s="18">
        <v>140</v>
      </c>
      <c r="D20" s="18">
        <v>96</v>
      </c>
      <c r="E20" s="18">
        <v>184.3</v>
      </c>
      <c r="F20" s="18">
        <v>194.3</v>
      </c>
      <c r="G20" s="18">
        <f t="shared" si="0"/>
        <v>207.2</v>
      </c>
      <c r="H20" s="18">
        <f t="shared" si="1"/>
        <v>12.899999999999977</v>
      </c>
      <c r="I20" s="18">
        <v>33.1</v>
      </c>
      <c r="J20" s="18">
        <v>148.9</v>
      </c>
      <c r="K20" s="18">
        <v>73.3</v>
      </c>
      <c r="L20" s="18">
        <v>73.599999999999994</v>
      </c>
      <c r="M20" s="18">
        <v>16.5</v>
      </c>
      <c r="N20" s="18">
        <v>57.1</v>
      </c>
      <c r="O20" s="18">
        <v>16.399999999999999</v>
      </c>
      <c r="P20" s="18">
        <v>3349</v>
      </c>
      <c r="Q20" s="18">
        <v>33.1</v>
      </c>
    </row>
    <row r="21" spans="1:17" x14ac:dyDescent="0.2">
      <c r="A21" s="18">
        <v>20</v>
      </c>
      <c r="B21" s="18">
        <v>3276</v>
      </c>
      <c r="C21" s="18">
        <v>136</v>
      </c>
      <c r="D21" s="18">
        <v>96</v>
      </c>
      <c r="E21" s="18">
        <v>185.7</v>
      </c>
      <c r="F21" s="18">
        <v>184.7</v>
      </c>
      <c r="G21" s="18">
        <f t="shared" si="0"/>
        <v>194.3</v>
      </c>
      <c r="H21" s="18">
        <f t="shared" si="1"/>
        <v>9.6000000000000227</v>
      </c>
      <c r="I21" s="18">
        <v>32.200000000000003</v>
      </c>
      <c r="J21" s="18">
        <v>140.1</v>
      </c>
      <c r="K21" s="18">
        <v>73.3</v>
      </c>
      <c r="L21" s="18">
        <v>73.2</v>
      </c>
      <c r="M21" s="18">
        <v>15.8</v>
      </c>
      <c r="N21" s="18">
        <v>57.4</v>
      </c>
      <c r="O21" s="18">
        <v>15.7</v>
      </c>
      <c r="P21" s="18">
        <v>3276</v>
      </c>
      <c r="Q21" s="18">
        <v>32.200000000000003</v>
      </c>
    </row>
    <row r="22" spans="1:17" x14ac:dyDescent="0.2">
      <c r="A22" s="18">
        <v>21</v>
      </c>
      <c r="B22" s="18">
        <v>3489</v>
      </c>
      <c r="C22" s="18">
        <v>145</v>
      </c>
      <c r="D22" s="18">
        <v>96</v>
      </c>
      <c r="E22" s="18">
        <v>187.2</v>
      </c>
      <c r="F22" s="18">
        <v>181.2</v>
      </c>
      <c r="G22" s="18">
        <f t="shared" si="0"/>
        <v>184.7</v>
      </c>
      <c r="H22" s="18">
        <f t="shared" si="1"/>
        <v>3.5</v>
      </c>
      <c r="I22" s="18">
        <v>34</v>
      </c>
      <c r="J22" s="18">
        <v>134.80000000000001</v>
      </c>
      <c r="K22" s="18">
        <v>73.900000000000006</v>
      </c>
      <c r="L22" s="18">
        <v>73.2</v>
      </c>
      <c r="M22" s="18">
        <v>15.4</v>
      </c>
      <c r="N22" s="18">
        <v>57.8</v>
      </c>
      <c r="O22" s="18">
        <v>15.3</v>
      </c>
      <c r="P22" s="18">
        <v>3305</v>
      </c>
      <c r="Q22" s="18">
        <v>32.299999999999997</v>
      </c>
    </row>
    <row r="23" spans="1:17" x14ac:dyDescent="0.2">
      <c r="A23" s="18">
        <v>22</v>
      </c>
      <c r="B23" s="18">
        <v>3340</v>
      </c>
      <c r="C23" s="18">
        <v>139</v>
      </c>
      <c r="D23" s="18">
        <v>96</v>
      </c>
      <c r="E23" s="18">
        <v>190.4</v>
      </c>
      <c r="F23" s="18">
        <v>193.4</v>
      </c>
      <c r="G23" s="18">
        <f t="shared" si="0"/>
        <v>181.2</v>
      </c>
      <c r="H23" s="18">
        <f t="shared" si="1"/>
        <v>-12.200000000000017</v>
      </c>
      <c r="I23" s="18">
        <v>32.6</v>
      </c>
      <c r="J23" s="18">
        <v>148.5</v>
      </c>
      <c r="K23" s="18">
        <v>73.7</v>
      </c>
      <c r="L23" s="18">
        <v>74.2</v>
      </c>
      <c r="M23" s="18">
        <v>16.3</v>
      </c>
      <c r="N23" s="18">
        <v>57.9</v>
      </c>
      <c r="O23" s="18">
        <v>16.100000000000001</v>
      </c>
      <c r="P23" s="18">
        <v>3340</v>
      </c>
      <c r="Q23" s="18">
        <v>32.6</v>
      </c>
    </row>
    <row r="24" spans="1:17" x14ac:dyDescent="0.2">
      <c r="A24" s="18">
        <v>23</v>
      </c>
      <c r="B24" s="18">
        <v>3319</v>
      </c>
      <c r="C24" s="18">
        <v>138</v>
      </c>
      <c r="D24" s="18">
        <v>96</v>
      </c>
      <c r="E24" s="18">
        <v>198.3</v>
      </c>
      <c r="F24" s="18">
        <v>193.3</v>
      </c>
      <c r="G24" s="18">
        <f t="shared" si="0"/>
        <v>193.4</v>
      </c>
      <c r="H24" s="18">
        <f t="shared" si="1"/>
        <v>9.9999999999994316E-2</v>
      </c>
      <c r="I24" s="18">
        <v>32.799999999999997</v>
      </c>
      <c r="J24" s="18">
        <v>148.1</v>
      </c>
      <c r="K24" s="18">
        <v>74.2</v>
      </c>
      <c r="L24" s="18">
        <v>73.5</v>
      </c>
      <c r="M24" s="18">
        <v>16.399999999999999</v>
      </c>
      <c r="N24" s="18">
        <v>57.1</v>
      </c>
      <c r="O24" s="18">
        <v>16.3</v>
      </c>
      <c r="P24" s="18">
        <v>3319</v>
      </c>
      <c r="Q24" s="18">
        <v>32.799999999999997</v>
      </c>
    </row>
    <row r="25" spans="1:17" x14ac:dyDescent="0.2">
      <c r="A25" s="18">
        <v>24</v>
      </c>
      <c r="B25" s="18">
        <v>3251</v>
      </c>
      <c r="C25" s="18">
        <v>135</v>
      </c>
      <c r="D25" s="18">
        <v>96</v>
      </c>
      <c r="E25" s="18">
        <v>188.9</v>
      </c>
      <c r="F25" s="18">
        <v>193.9</v>
      </c>
      <c r="G25" s="18">
        <f t="shared" si="0"/>
        <v>193.3</v>
      </c>
      <c r="H25" s="18">
        <f t="shared" si="1"/>
        <v>-0.59999999999999432</v>
      </c>
      <c r="I25" s="18">
        <v>31.9</v>
      </c>
      <c r="J25" s="18">
        <v>149.6</v>
      </c>
      <c r="K25" s="18">
        <v>73.599999999999994</v>
      </c>
      <c r="L25" s="18">
        <v>74</v>
      </c>
      <c r="M25" s="18">
        <v>16.5</v>
      </c>
      <c r="N25" s="18">
        <v>57.5</v>
      </c>
      <c r="O25" s="18">
        <v>16.399999999999999</v>
      </c>
      <c r="P25" s="18">
        <v>3251</v>
      </c>
      <c r="Q25" s="18">
        <v>31.9</v>
      </c>
    </row>
    <row r="26" spans="1:17" x14ac:dyDescent="0.2">
      <c r="A26" s="18">
        <v>25</v>
      </c>
      <c r="B26" s="18">
        <v>3249</v>
      </c>
      <c r="C26" s="18">
        <v>135</v>
      </c>
      <c r="D26" s="18">
        <v>96</v>
      </c>
      <c r="E26" s="18">
        <v>175</v>
      </c>
      <c r="F26" s="18">
        <v>179</v>
      </c>
      <c r="G26" s="18">
        <f t="shared" si="0"/>
        <v>193.9</v>
      </c>
      <c r="H26" s="18">
        <f t="shared" si="1"/>
        <v>14.900000000000006</v>
      </c>
      <c r="I26" s="18">
        <v>31.6</v>
      </c>
      <c r="J26" s="18">
        <v>134.9</v>
      </c>
      <c r="K26" s="18">
        <v>73.2</v>
      </c>
      <c r="L26" s="18">
        <v>73.599999999999994</v>
      </c>
      <c r="M26" s="18">
        <v>15.7</v>
      </c>
      <c r="N26" s="18">
        <v>57.9</v>
      </c>
      <c r="O26" s="18">
        <v>15.6</v>
      </c>
      <c r="P26" s="18">
        <v>3249</v>
      </c>
      <c r="Q26" s="18">
        <v>31.6</v>
      </c>
    </row>
    <row r="27" spans="1:17" x14ac:dyDescent="0.2">
      <c r="A27" s="18">
        <v>26</v>
      </c>
      <c r="B27" s="18">
        <v>3237</v>
      </c>
      <c r="C27" s="18">
        <v>135</v>
      </c>
      <c r="D27" s="18">
        <v>96</v>
      </c>
      <c r="E27" s="18">
        <v>162.80000000000001</v>
      </c>
      <c r="F27" s="18">
        <v>158.80000000000001</v>
      </c>
      <c r="G27" s="18">
        <f t="shared" si="0"/>
        <v>179</v>
      </c>
      <c r="H27" s="18">
        <f t="shared" si="1"/>
        <v>20.199999999999989</v>
      </c>
      <c r="I27" s="18">
        <v>31</v>
      </c>
      <c r="J27" s="18">
        <v>115.3</v>
      </c>
      <c r="K27" s="18">
        <v>73.599999999999994</v>
      </c>
      <c r="L27" s="18">
        <v>73.099999999999994</v>
      </c>
      <c r="M27" s="18">
        <v>14.4</v>
      </c>
      <c r="N27" s="18">
        <v>58.7</v>
      </c>
      <c r="O27" s="18">
        <v>14.3</v>
      </c>
      <c r="P27" s="18">
        <v>3237</v>
      </c>
      <c r="Q27" s="18">
        <v>31</v>
      </c>
    </row>
    <row r="28" spans="1:17" x14ac:dyDescent="0.2">
      <c r="A28" s="18">
        <v>27</v>
      </c>
      <c r="B28" s="18">
        <v>3451</v>
      </c>
      <c r="C28" s="18">
        <v>144</v>
      </c>
      <c r="D28" s="18">
        <v>96</v>
      </c>
      <c r="E28" s="18">
        <v>172.3</v>
      </c>
      <c r="F28" s="18">
        <v>173.3</v>
      </c>
      <c r="G28" s="18">
        <f t="shared" si="0"/>
        <v>158.80000000000001</v>
      </c>
      <c r="H28" s="18">
        <f t="shared" si="1"/>
        <v>-14.5</v>
      </c>
      <c r="I28" s="18">
        <v>33.200000000000003</v>
      </c>
      <c r="J28" s="18">
        <v>127.7</v>
      </c>
      <c r="K28" s="18">
        <v>73.5</v>
      </c>
      <c r="L28" s="18">
        <v>73.5</v>
      </c>
      <c r="M28" s="18">
        <v>15.2</v>
      </c>
      <c r="N28" s="18">
        <v>58.3</v>
      </c>
      <c r="O28" s="18">
        <v>15</v>
      </c>
      <c r="P28" s="18">
        <v>3451</v>
      </c>
      <c r="Q28" s="18">
        <v>33.200000000000003</v>
      </c>
    </row>
    <row r="29" spans="1:17" x14ac:dyDescent="0.2">
      <c r="A29" s="18">
        <v>28</v>
      </c>
      <c r="B29" s="18">
        <v>3430</v>
      </c>
      <c r="C29" s="18">
        <v>143</v>
      </c>
      <c r="D29" s="18">
        <v>96</v>
      </c>
      <c r="E29" s="18">
        <v>186.8</v>
      </c>
      <c r="F29" s="18">
        <v>191.8</v>
      </c>
      <c r="G29" s="18">
        <f t="shared" si="0"/>
        <v>173.3</v>
      </c>
      <c r="H29" s="18">
        <f t="shared" si="1"/>
        <v>-18.5</v>
      </c>
      <c r="I29" s="18">
        <v>33.799999999999997</v>
      </c>
      <c r="J29" s="18">
        <v>145.6</v>
      </c>
      <c r="K29" s="18">
        <v>73</v>
      </c>
      <c r="L29" s="18">
        <v>73</v>
      </c>
      <c r="M29" s="18">
        <v>16.399999999999999</v>
      </c>
      <c r="N29" s="18">
        <v>56.6</v>
      </c>
      <c r="O29" s="18">
        <v>16.3</v>
      </c>
      <c r="P29" s="18">
        <v>3430</v>
      </c>
      <c r="Q29" s="18">
        <v>33.799999999999997</v>
      </c>
    </row>
    <row r="30" spans="1:17" x14ac:dyDescent="0.2">
      <c r="A30" s="18">
        <v>29</v>
      </c>
      <c r="B30" s="18">
        <v>4879</v>
      </c>
      <c r="C30" s="18">
        <v>203</v>
      </c>
      <c r="D30" s="18">
        <v>96</v>
      </c>
      <c r="E30" s="18">
        <v>216.5</v>
      </c>
      <c r="F30" s="18">
        <v>211.5</v>
      </c>
      <c r="G30" s="18">
        <f t="shared" si="0"/>
        <v>191.8</v>
      </c>
      <c r="H30" s="18">
        <f t="shared" si="1"/>
        <v>-19.699999999999989</v>
      </c>
      <c r="I30" s="18">
        <v>50</v>
      </c>
      <c r="J30" s="18">
        <v>149.1</v>
      </c>
      <c r="K30" s="18">
        <v>73.599999999999994</v>
      </c>
      <c r="L30" s="18">
        <v>72.7</v>
      </c>
      <c r="M30" s="18">
        <v>17.7</v>
      </c>
      <c r="N30" s="18">
        <v>55</v>
      </c>
      <c r="O30" s="18">
        <v>17.5</v>
      </c>
      <c r="P30" s="18">
        <v>4879</v>
      </c>
      <c r="Q30" s="18">
        <v>50</v>
      </c>
    </row>
    <row r="31" spans="1:17" x14ac:dyDescent="0.2">
      <c r="A31" s="18">
        <v>30</v>
      </c>
      <c r="B31" s="18">
        <v>5630</v>
      </c>
      <c r="C31" s="18">
        <v>235</v>
      </c>
      <c r="D31" s="18">
        <v>96</v>
      </c>
      <c r="E31" s="18">
        <v>217.5</v>
      </c>
      <c r="F31" s="18">
        <v>221.5</v>
      </c>
      <c r="G31" s="18">
        <f t="shared" si="0"/>
        <v>211.5</v>
      </c>
      <c r="H31" s="18">
        <f t="shared" si="1"/>
        <v>-10</v>
      </c>
      <c r="I31" s="18">
        <v>58.7</v>
      </c>
      <c r="J31" s="18">
        <v>150.4</v>
      </c>
      <c r="K31" s="18">
        <v>73</v>
      </c>
      <c r="L31" s="18">
        <v>73.099999999999994</v>
      </c>
      <c r="M31" s="18">
        <v>18.100000000000001</v>
      </c>
      <c r="N31" s="18">
        <v>55</v>
      </c>
      <c r="O31" s="18">
        <v>18</v>
      </c>
      <c r="P31" s="18">
        <v>5630</v>
      </c>
      <c r="Q31" s="18">
        <v>58.7</v>
      </c>
    </row>
    <row r="32" spans="1:17" x14ac:dyDescent="0.2">
      <c r="A32" s="18">
        <v>31</v>
      </c>
      <c r="B32" s="18">
        <v>5985</v>
      </c>
      <c r="C32" s="18">
        <v>249</v>
      </c>
      <c r="D32" s="18">
        <v>96</v>
      </c>
      <c r="E32" s="18">
        <v>222.9</v>
      </c>
      <c r="F32" s="18">
        <v>223.9</v>
      </c>
      <c r="G32" s="18">
        <f t="shared" si="0"/>
        <v>221.5</v>
      </c>
      <c r="H32" s="18">
        <f t="shared" si="1"/>
        <v>-2.4000000000000057</v>
      </c>
      <c r="I32" s="18">
        <v>62</v>
      </c>
      <c r="J32" s="18">
        <v>149.6</v>
      </c>
      <c r="K32" s="18">
        <v>73</v>
      </c>
      <c r="L32" s="18">
        <v>72.900000000000006</v>
      </c>
      <c r="M32" s="18">
        <v>18.600000000000001</v>
      </c>
      <c r="N32" s="18">
        <v>54.3</v>
      </c>
      <c r="O32" s="18">
        <v>18.399999999999999</v>
      </c>
      <c r="P32" s="18">
        <v>5985</v>
      </c>
      <c r="Q32" s="18">
        <v>62</v>
      </c>
    </row>
    <row r="33" spans="1:17" x14ac:dyDescent="0.2">
      <c r="A33" s="18"/>
    </row>
    <row r="34" spans="1:17" x14ac:dyDescent="0.2">
      <c r="A34" s="18" t="s">
        <v>42</v>
      </c>
      <c r="B34" s="18">
        <v>167042</v>
      </c>
      <c r="C34" s="18"/>
      <c r="D34" s="18">
        <v>2976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x14ac:dyDescent="0.2">
      <c r="A35" s="18" t="s">
        <v>43</v>
      </c>
      <c r="B35" s="18">
        <v>5388</v>
      </c>
      <c r="C35" s="18">
        <v>225</v>
      </c>
      <c r="D35" s="18">
        <v>96</v>
      </c>
      <c r="E35" s="18">
        <v>214.02</v>
      </c>
      <c r="F35" s="18">
        <v>214.12</v>
      </c>
      <c r="G35" s="18"/>
      <c r="H35" s="18"/>
      <c r="I35" s="18">
        <v>55.25</v>
      </c>
      <c r="J35" s="18">
        <v>146.47</v>
      </c>
      <c r="K35" s="18">
        <v>73.59</v>
      </c>
      <c r="L35" s="18">
        <v>73.53</v>
      </c>
      <c r="M35" s="18">
        <v>17.73</v>
      </c>
      <c r="N35" s="18">
        <v>55.8</v>
      </c>
      <c r="O35" s="18">
        <v>17.600000000000001</v>
      </c>
      <c r="P35" s="18">
        <v>5222</v>
      </c>
      <c r="Q35" s="18">
        <v>53.53</v>
      </c>
    </row>
    <row r="36" spans="1:17" x14ac:dyDescent="0.2">
      <c r="A36" s="18"/>
    </row>
    <row r="37" spans="1:17" x14ac:dyDescent="0.2">
      <c r="A37" s="18" t="s">
        <v>44</v>
      </c>
      <c r="B37" s="18">
        <v>10102</v>
      </c>
      <c r="C37" s="18"/>
      <c r="D37" s="18"/>
      <c r="E37" s="18">
        <v>263.3</v>
      </c>
      <c r="F37" s="18">
        <v>271.3</v>
      </c>
      <c r="G37" s="18"/>
      <c r="H37" s="18"/>
      <c r="I37" s="18">
        <v>108.3</v>
      </c>
      <c r="J37" s="18">
        <v>151.6</v>
      </c>
      <c r="K37" s="18">
        <v>74.7</v>
      </c>
      <c r="L37" s="18">
        <v>74.5</v>
      </c>
      <c r="M37" s="18">
        <v>21</v>
      </c>
      <c r="N37" s="18">
        <v>58.7</v>
      </c>
      <c r="O37" s="18">
        <v>20.7</v>
      </c>
      <c r="P37" s="18">
        <v>8268</v>
      </c>
      <c r="Q37" s="18">
        <v>89</v>
      </c>
    </row>
    <row r="38" spans="1:17" x14ac:dyDescent="0.2">
      <c r="A38" s="18" t="s">
        <v>45</v>
      </c>
      <c r="B38" s="18">
        <v>3237</v>
      </c>
      <c r="C38" s="18"/>
      <c r="D38" s="18"/>
      <c r="E38" s="18">
        <v>162.80000000000001</v>
      </c>
      <c r="F38" s="18">
        <v>158.80000000000001</v>
      </c>
      <c r="G38" s="18"/>
      <c r="H38" s="18" cm="1">
        <f t="array" ref="H38">MAX(ABS(H3:H32))</f>
        <v>44.400000000000006</v>
      </c>
      <c r="I38" s="18">
        <v>31</v>
      </c>
      <c r="J38" s="18">
        <v>115.3</v>
      </c>
      <c r="K38" s="18">
        <v>72.5</v>
      </c>
      <c r="L38" s="18">
        <v>72.7</v>
      </c>
      <c r="M38" s="18">
        <v>14.4</v>
      </c>
      <c r="N38" s="18">
        <v>52.7</v>
      </c>
      <c r="O38" s="18">
        <v>14.3</v>
      </c>
      <c r="P38" s="18">
        <v>3237</v>
      </c>
      <c r="Q38" s="18">
        <v>31</v>
      </c>
    </row>
    <row r="41" spans="1:17" ht="50" x14ac:dyDescent="0.2">
      <c r="A41" s="19" t="s">
        <v>48</v>
      </c>
      <c r="B41" t="s">
        <v>50</v>
      </c>
      <c r="C41" t="s">
        <v>49</v>
      </c>
      <c r="D41" t="s">
        <v>47</v>
      </c>
      <c r="E41" t="s">
        <v>50</v>
      </c>
      <c r="F41" t="s">
        <v>49</v>
      </c>
      <c r="G41" t="s">
        <v>47</v>
      </c>
      <c r="H41" t="s">
        <v>50</v>
      </c>
      <c r="I41" t="s">
        <v>49</v>
      </c>
      <c r="J41" t="s">
        <v>47</v>
      </c>
    </row>
    <row r="42" spans="1:17" x14ac:dyDescent="0.2">
      <c r="A42" s="18">
        <v>1</v>
      </c>
      <c r="B42" s="18">
        <v>171.5</v>
      </c>
      <c r="C42" s="18"/>
      <c r="D42" s="18"/>
      <c r="E42" s="18">
        <v>192.2</v>
      </c>
      <c r="F42" s="18"/>
      <c r="G42" s="18"/>
      <c r="H42" s="18">
        <v>176.7</v>
      </c>
      <c r="I42" s="18"/>
      <c r="J42" s="18"/>
    </row>
    <row r="43" spans="1:17" x14ac:dyDescent="0.2">
      <c r="A43" s="18">
        <v>2</v>
      </c>
      <c r="B43" s="18">
        <v>172.4</v>
      </c>
      <c r="C43" s="18">
        <f>B42</f>
        <v>171.5</v>
      </c>
      <c r="D43" s="18">
        <f>C43-B43</f>
        <v>-0.90000000000000568</v>
      </c>
      <c r="E43" s="18">
        <v>191.9</v>
      </c>
      <c r="F43" s="18">
        <f>E42</f>
        <v>192.2</v>
      </c>
      <c r="G43" s="18">
        <f>F43-E43</f>
        <v>0.29999999999998295</v>
      </c>
      <c r="H43" s="18">
        <v>174.8</v>
      </c>
      <c r="I43" s="18">
        <f>H42</f>
        <v>176.7</v>
      </c>
      <c r="J43" s="18">
        <f>I43-H43</f>
        <v>1.8999999999999773</v>
      </c>
      <c r="K43" s="18"/>
      <c r="L43" s="18"/>
      <c r="M43" s="18"/>
      <c r="N43" s="18"/>
      <c r="O43" s="18"/>
      <c r="P43" s="18"/>
      <c r="Q43" s="18"/>
    </row>
    <row r="44" spans="1:17" x14ac:dyDescent="0.2">
      <c r="A44" s="18">
        <v>3</v>
      </c>
      <c r="B44" s="18">
        <v>172.2</v>
      </c>
      <c r="C44" s="18">
        <f t="shared" ref="C44:C65" si="2">B43</f>
        <v>172.4</v>
      </c>
      <c r="D44" s="18">
        <f t="shared" ref="D44:D65" si="3">C44-B44</f>
        <v>0.20000000000001705</v>
      </c>
      <c r="E44" s="18">
        <v>191.7</v>
      </c>
      <c r="F44" s="18">
        <f t="shared" ref="F44:F65" si="4">E43</f>
        <v>191.9</v>
      </c>
      <c r="G44" s="18">
        <f t="shared" ref="G44:G65" si="5">F44-E44</f>
        <v>0.20000000000001705</v>
      </c>
      <c r="H44" s="18">
        <v>174.6</v>
      </c>
      <c r="I44" s="18">
        <f t="shared" ref="I44:I65" si="6">H43</f>
        <v>174.8</v>
      </c>
      <c r="J44" s="18">
        <f t="shared" ref="J44:J65" si="7">I44-H44</f>
        <v>0.20000000000001705</v>
      </c>
      <c r="K44" s="18"/>
      <c r="L44" s="18"/>
      <c r="M44" s="18"/>
      <c r="N44" s="18"/>
      <c r="O44" s="18"/>
      <c r="P44" s="18"/>
      <c r="Q44" s="18"/>
    </row>
    <row r="45" spans="1:17" x14ac:dyDescent="0.2">
      <c r="A45" s="18">
        <v>4</v>
      </c>
      <c r="B45" s="18">
        <v>172.4</v>
      </c>
      <c r="C45" s="18">
        <f t="shared" si="2"/>
        <v>172.2</v>
      </c>
      <c r="D45" s="18">
        <f t="shared" si="3"/>
        <v>-0.20000000000001705</v>
      </c>
      <c r="E45" s="18">
        <v>191.6</v>
      </c>
      <c r="F45" s="18">
        <f t="shared" si="4"/>
        <v>191.7</v>
      </c>
      <c r="G45" s="18">
        <f t="shared" si="5"/>
        <v>9.9999999999994316E-2</v>
      </c>
      <c r="H45" s="18">
        <v>174.6</v>
      </c>
      <c r="I45" s="18">
        <f t="shared" si="6"/>
        <v>174.6</v>
      </c>
      <c r="J45" s="18">
        <f t="shared" si="7"/>
        <v>0</v>
      </c>
      <c r="K45" s="18"/>
      <c r="L45" s="18"/>
      <c r="M45" s="18"/>
      <c r="N45" s="18"/>
      <c r="O45" s="18"/>
      <c r="P45" s="18"/>
      <c r="Q45" s="18"/>
    </row>
    <row r="46" spans="1:17" x14ac:dyDescent="0.2">
      <c r="A46" s="18">
        <v>5</v>
      </c>
      <c r="B46" s="18">
        <v>171.9</v>
      </c>
      <c r="C46" s="18">
        <f t="shared" si="2"/>
        <v>172.4</v>
      </c>
      <c r="D46" s="18">
        <f t="shared" si="3"/>
        <v>0.5</v>
      </c>
      <c r="E46" s="18">
        <v>191.4</v>
      </c>
      <c r="F46" s="18">
        <f t="shared" si="4"/>
        <v>191.6</v>
      </c>
      <c r="G46" s="18">
        <f t="shared" si="5"/>
        <v>0.19999999999998863</v>
      </c>
      <c r="H46" s="18">
        <v>174.7</v>
      </c>
      <c r="I46" s="18">
        <f t="shared" si="6"/>
        <v>174.6</v>
      </c>
      <c r="J46" s="18">
        <f t="shared" si="7"/>
        <v>-9.9999999999994316E-2</v>
      </c>
      <c r="K46" s="18"/>
      <c r="L46" s="18"/>
      <c r="M46" s="18"/>
      <c r="N46" s="18"/>
      <c r="O46" s="18"/>
      <c r="P46" s="18"/>
      <c r="Q46" s="18"/>
    </row>
    <row r="47" spans="1:17" x14ac:dyDescent="0.2">
      <c r="A47" s="18">
        <v>6</v>
      </c>
      <c r="B47" s="18">
        <v>171.9</v>
      </c>
      <c r="C47" s="18">
        <f t="shared" si="2"/>
        <v>171.9</v>
      </c>
      <c r="D47" s="18">
        <f t="shared" si="3"/>
        <v>0</v>
      </c>
      <c r="E47" s="18">
        <v>191.7</v>
      </c>
      <c r="F47" s="18">
        <f t="shared" si="4"/>
        <v>191.4</v>
      </c>
      <c r="G47" s="18">
        <f t="shared" si="5"/>
        <v>-0.29999999999998295</v>
      </c>
      <c r="H47" s="18">
        <v>174.7</v>
      </c>
      <c r="I47" s="18">
        <f t="shared" si="6"/>
        <v>174.7</v>
      </c>
      <c r="J47" s="18">
        <f t="shared" si="7"/>
        <v>0</v>
      </c>
      <c r="K47" s="18"/>
      <c r="L47" s="18"/>
      <c r="M47" s="18"/>
      <c r="N47" s="18"/>
      <c r="O47" s="18"/>
      <c r="P47" s="18"/>
      <c r="Q47" s="18"/>
    </row>
    <row r="48" spans="1:17" x14ac:dyDescent="0.2">
      <c r="A48" s="18">
        <v>7</v>
      </c>
      <c r="B48" s="18">
        <v>171.7</v>
      </c>
      <c r="C48" s="18">
        <f t="shared" si="2"/>
        <v>171.9</v>
      </c>
      <c r="D48" s="18">
        <f t="shared" si="3"/>
        <v>0.20000000000001705</v>
      </c>
      <c r="E48" s="18">
        <v>192.7</v>
      </c>
      <c r="F48" s="18">
        <f t="shared" si="4"/>
        <v>191.7</v>
      </c>
      <c r="G48" s="18">
        <f t="shared" si="5"/>
        <v>-1</v>
      </c>
      <c r="H48" s="18">
        <v>174.2</v>
      </c>
      <c r="I48" s="18">
        <f t="shared" si="6"/>
        <v>174.7</v>
      </c>
      <c r="J48" s="18">
        <f t="shared" si="7"/>
        <v>0.5</v>
      </c>
      <c r="K48" s="18"/>
      <c r="L48" s="18"/>
      <c r="M48" s="18"/>
      <c r="N48" s="18"/>
      <c r="O48" s="18"/>
      <c r="P48" s="18"/>
      <c r="Q48" s="18"/>
    </row>
    <row r="49" spans="1:17" x14ac:dyDescent="0.2">
      <c r="A49" s="18">
        <v>8</v>
      </c>
      <c r="B49" s="18">
        <v>171.6</v>
      </c>
      <c r="C49" s="18">
        <f t="shared" si="2"/>
        <v>171.7</v>
      </c>
      <c r="D49" s="18">
        <f t="shared" si="3"/>
        <v>9.9999999999994316E-2</v>
      </c>
      <c r="E49" s="18">
        <v>191.6</v>
      </c>
      <c r="F49" s="18">
        <f t="shared" si="4"/>
        <v>192.7</v>
      </c>
      <c r="G49" s="18">
        <f t="shared" si="5"/>
        <v>1.0999999999999943</v>
      </c>
      <c r="H49" s="18">
        <v>175</v>
      </c>
      <c r="I49" s="18">
        <f t="shared" si="6"/>
        <v>174.2</v>
      </c>
      <c r="J49" s="18">
        <f t="shared" si="7"/>
        <v>-0.80000000000001137</v>
      </c>
      <c r="K49" s="18"/>
      <c r="L49" s="18"/>
      <c r="M49" s="18"/>
      <c r="N49" s="18"/>
      <c r="O49" s="18"/>
      <c r="P49" s="18"/>
      <c r="Q49" s="18"/>
    </row>
    <row r="50" spans="1:17" x14ac:dyDescent="0.2">
      <c r="A50" s="18">
        <v>9</v>
      </c>
      <c r="B50" s="18">
        <v>171.1</v>
      </c>
      <c r="C50" s="18">
        <f t="shared" si="2"/>
        <v>171.6</v>
      </c>
      <c r="D50" s="18">
        <f t="shared" si="3"/>
        <v>0.5</v>
      </c>
      <c r="E50" s="18">
        <v>187.7</v>
      </c>
      <c r="F50" s="18">
        <f t="shared" si="4"/>
        <v>191.6</v>
      </c>
      <c r="G50" s="18">
        <f t="shared" si="5"/>
        <v>3.9000000000000057</v>
      </c>
      <c r="H50" s="18">
        <v>175.2</v>
      </c>
      <c r="I50" s="18">
        <f t="shared" si="6"/>
        <v>175</v>
      </c>
      <c r="J50" s="18">
        <f t="shared" si="7"/>
        <v>-0.19999999999998863</v>
      </c>
      <c r="K50" s="18"/>
      <c r="L50" s="18"/>
      <c r="M50" s="18"/>
      <c r="N50" s="18"/>
      <c r="O50" s="18"/>
      <c r="P50" s="18"/>
      <c r="Q50" s="18"/>
    </row>
    <row r="51" spans="1:17" x14ac:dyDescent="0.2">
      <c r="A51" s="18">
        <v>10</v>
      </c>
      <c r="B51" s="18">
        <v>171</v>
      </c>
      <c r="C51" s="18">
        <f t="shared" si="2"/>
        <v>171.1</v>
      </c>
      <c r="D51" s="18">
        <f t="shared" si="3"/>
        <v>9.9999999999994316E-2</v>
      </c>
      <c r="E51" s="18">
        <v>174.2</v>
      </c>
      <c r="F51" s="18">
        <f t="shared" si="4"/>
        <v>187.7</v>
      </c>
      <c r="G51" s="18">
        <f t="shared" si="5"/>
        <v>13.5</v>
      </c>
      <c r="H51" s="18">
        <v>175.6</v>
      </c>
      <c r="I51" s="18">
        <f t="shared" si="6"/>
        <v>175.2</v>
      </c>
      <c r="J51" s="18">
        <f t="shared" si="7"/>
        <v>-0.40000000000000568</v>
      </c>
      <c r="K51" s="18"/>
      <c r="L51" s="18"/>
      <c r="M51" s="18"/>
      <c r="N51" s="18"/>
      <c r="O51" s="18"/>
      <c r="P51" s="18"/>
      <c r="Q51" s="18"/>
    </row>
    <row r="52" spans="1:17" x14ac:dyDescent="0.2">
      <c r="A52" s="18">
        <v>11</v>
      </c>
      <c r="B52" s="18">
        <v>171.2</v>
      </c>
      <c r="C52" s="18">
        <f t="shared" si="2"/>
        <v>171</v>
      </c>
      <c r="D52" s="18">
        <f t="shared" si="3"/>
        <v>-0.19999999999998863</v>
      </c>
      <c r="E52" s="18">
        <v>172</v>
      </c>
      <c r="F52" s="18">
        <f t="shared" si="4"/>
        <v>174.2</v>
      </c>
      <c r="G52" s="18">
        <f t="shared" si="5"/>
        <v>2.1999999999999886</v>
      </c>
      <c r="H52" s="18">
        <v>175.3</v>
      </c>
      <c r="I52" s="18">
        <f t="shared" si="6"/>
        <v>175.6</v>
      </c>
      <c r="J52" s="18">
        <f t="shared" si="7"/>
        <v>0.29999999999998295</v>
      </c>
      <c r="K52" s="18"/>
      <c r="L52" s="18"/>
      <c r="M52" s="18"/>
      <c r="N52" s="18"/>
      <c r="O52" s="18"/>
      <c r="P52" s="18"/>
      <c r="Q52" s="18"/>
    </row>
    <row r="53" spans="1:17" x14ac:dyDescent="0.2">
      <c r="A53" s="18">
        <v>12</v>
      </c>
      <c r="B53" s="18">
        <v>172.8</v>
      </c>
      <c r="C53" s="18">
        <f t="shared" si="2"/>
        <v>171.2</v>
      </c>
      <c r="D53" s="18">
        <f t="shared" si="3"/>
        <v>-1.6000000000000227</v>
      </c>
      <c r="E53" s="18">
        <v>172.9</v>
      </c>
      <c r="F53" s="18">
        <f t="shared" si="4"/>
        <v>172</v>
      </c>
      <c r="G53" s="18">
        <f t="shared" si="5"/>
        <v>-0.90000000000000568</v>
      </c>
      <c r="H53" s="18">
        <v>175.7</v>
      </c>
      <c r="I53" s="18">
        <f t="shared" si="6"/>
        <v>175.3</v>
      </c>
      <c r="J53" s="18">
        <f t="shared" si="7"/>
        <v>-0.39999999999997726</v>
      </c>
      <c r="K53" s="18"/>
      <c r="L53" s="18"/>
      <c r="M53" s="18"/>
      <c r="N53" s="18"/>
      <c r="O53" s="18"/>
      <c r="P53" s="18"/>
      <c r="Q53" s="18"/>
    </row>
    <row r="54" spans="1:17" x14ac:dyDescent="0.2">
      <c r="A54" s="18">
        <v>13</v>
      </c>
      <c r="B54" s="18">
        <v>182.1</v>
      </c>
      <c r="C54" s="18">
        <f t="shared" si="2"/>
        <v>172.8</v>
      </c>
      <c r="D54" s="18">
        <f t="shared" si="3"/>
        <v>-9.2999999999999829</v>
      </c>
      <c r="E54" s="18">
        <v>173</v>
      </c>
      <c r="F54" s="18">
        <f t="shared" si="4"/>
        <v>172.9</v>
      </c>
      <c r="G54" s="18">
        <f t="shared" si="5"/>
        <v>-9.9999999999994316E-2</v>
      </c>
      <c r="H54" s="18">
        <v>175.8</v>
      </c>
      <c r="I54" s="18">
        <f t="shared" si="6"/>
        <v>175.7</v>
      </c>
      <c r="J54" s="18">
        <f t="shared" si="7"/>
        <v>-0.10000000000002274</v>
      </c>
      <c r="K54" s="18"/>
      <c r="L54" s="18"/>
      <c r="M54" s="18"/>
      <c r="N54" s="18"/>
      <c r="O54" s="18"/>
      <c r="P54" s="18"/>
      <c r="Q54" s="18"/>
    </row>
    <row r="55" spans="1:17" x14ac:dyDescent="0.2">
      <c r="A55" s="18">
        <v>14</v>
      </c>
      <c r="B55" s="18">
        <v>183.4</v>
      </c>
      <c r="C55" s="18">
        <f>B54</f>
        <v>182.1</v>
      </c>
      <c r="D55" s="18">
        <f t="shared" si="3"/>
        <v>-1.3000000000000114</v>
      </c>
      <c r="E55" s="18">
        <v>172.8</v>
      </c>
      <c r="F55" s="18">
        <f t="shared" si="4"/>
        <v>173</v>
      </c>
      <c r="G55" s="18">
        <f t="shared" si="5"/>
        <v>0.19999999999998863</v>
      </c>
      <c r="H55" s="18">
        <v>175.9</v>
      </c>
      <c r="I55" s="18">
        <f t="shared" si="6"/>
        <v>175.8</v>
      </c>
      <c r="J55" s="18">
        <f t="shared" si="7"/>
        <v>-9.9999999999994316E-2</v>
      </c>
      <c r="K55" s="18"/>
      <c r="L55" s="18"/>
      <c r="M55" s="18"/>
      <c r="N55" s="18"/>
      <c r="O55" s="18"/>
      <c r="P55" s="18"/>
      <c r="Q55" s="18"/>
    </row>
    <row r="56" spans="1:17" x14ac:dyDescent="0.2">
      <c r="A56" s="18">
        <v>15</v>
      </c>
      <c r="B56" s="18">
        <v>183.5</v>
      </c>
      <c r="C56" s="18">
        <f t="shared" si="2"/>
        <v>183.4</v>
      </c>
      <c r="D56" s="18">
        <f t="shared" si="3"/>
        <v>-9.9999999999994316E-2</v>
      </c>
      <c r="E56" s="18">
        <v>173.4</v>
      </c>
      <c r="F56" s="18">
        <f t="shared" si="4"/>
        <v>172.8</v>
      </c>
      <c r="G56" s="18">
        <f t="shared" si="5"/>
        <v>-0.59999999999999432</v>
      </c>
      <c r="H56" s="18">
        <v>176.3</v>
      </c>
      <c r="I56" s="18">
        <f t="shared" si="6"/>
        <v>175.9</v>
      </c>
      <c r="J56" s="18">
        <f t="shared" si="7"/>
        <v>-0.40000000000000568</v>
      </c>
      <c r="K56" s="18"/>
      <c r="L56" s="18"/>
      <c r="M56" s="18"/>
      <c r="N56" s="18"/>
      <c r="O56" s="18"/>
      <c r="P56" s="18"/>
      <c r="Q56" s="18"/>
    </row>
    <row r="57" spans="1:17" x14ac:dyDescent="0.2">
      <c r="A57" s="18">
        <v>16</v>
      </c>
      <c r="B57" s="18">
        <v>182.9</v>
      </c>
      <c r="C57" s="18">
        <f t="shared" si="2"/>
        <v>183.5</v>
      </c>
      <c r="D57" s="18">
        <f t="shared" si="3"/>
        <v>0.59999999999999432</v>
      </c>
      <c r="E57" s="18">
        <v>173.8</v>
      </c>
      <c r="F57" s="18">
        <f t="shared" si="4"/>
        <v>173.4</v>
      </c>
      <c r="G57" s="18">
        <f t="shared" si="5"/>
        <v>-0.40000000000000568</v>
      </c>
      <c r="H57" s="18">
        <v>176.6</v>
      </c>
      <c r="I57" s="18">
        <f t="shared" si="6"/>
        <v>176.3</v>
      </c>
      <c r="J57" s="18">
        <f t="shared" si="7"/>
        <v>-0.29999999999998295</v>
      </c>
      <c r="K57" s="18"/>
      <c r="L57" s="18"/>
      <c r="M57" s="18"/>
      <c r="N57" s="18"/>
      <c r="O57" s="18"/>
      <c r="P57" s="18"/>
      <c r="Q57" s="18"/>
    </row>
    <row r="58" spans="1:17" x14ac:dyDescent="0.2">
      <c r="A58" s="18">
        <v>17</v>
      </c>
      <c r="B58" s="18">
        <v>183.5</v>
      </c>
      <c r="C58" s="18">
        <f t="shared" si="2"/>
        <v>182.9</v>
      </c>
      <c r="D58" s="18">
        <f t="shared" si="3"/>
        <v>-0.59999999999999432</v>
      </c>
      <c r="E58" s="18">
        <v>173</v>
      </c>
      <c r="F58" s="18">
        <f t="shared" si="4"/>
        <v>173.8</v>
      </c>
      <c r="G58" s="18">
        <f t="shared" si="5"/>
        <v>0.80000000000001137</v>
      </c>
      <c r="H58" s="18">
        <v>176.5</v>
      </c>
      <c r="I58" s="18">
        <f t="shared" si="6"/>
        <v>176.6</v>
      </c>
      <c r="J58" s="18">
        <f t="shared" si="7"/>
        <v>9.9999999999994316E-2</v>
      </c>
      <c r="K58" s="18"/>
      <c r="L58" s="18"/>
      <c r="M58" s="18"/>
      <c r="N58" s="18"/>
      <c r="O58" s="18"/>
      <c r="P58" s="18"/>
      <c r="Q58" s="18"/>
    </row>
    <row r="59" spans="1:17" x14ac:dyDescent="0.2">
      <c r="A59" s="18">
        <v>18</v>
      </c>
      <c r="B59" s="18">
        <v>184.8</v>
      </c>
      <c r="C59" s="18">
        <f t="shared" si="2"/>
        <v>183.5</v>
      </c>
      <c r="D59" s="18">
        <f t="shared" si="3"/>
        <v>-1.3000000000000114</v>
      </c>
      <c r="E59" s="18">
        <v>173.7</v>
      </c>
      <c r="F59" s="18">
        <f t="shared" si="4"/>
        <v>173</v>
      </c>
      <c r="G59" s="18">
        <f t="shared" si="5"/>
        <v>-0.69999999999998863</v>
      </c>
      <c r="H59" s="18">
        <v>176.9</v>
      </c>
      <c r="I59" s="18">
        <f t="shared" si="6"/>
        <v>176.5</v>
      </c>
      <c r="J59" s="18">
        <f t="shared" si="7"/>
        <v>-0.40000000000000568</v>
      </c>
      <c r="K59" s="18"/>
      <c r="L59" s="18"/>
      <c r="M59" s="18"/>
      <c r="N59" s="18"/>
      <c r="O59" s="18"/>
      <c r="P59" s="18"/>
      <c r="Q59" s="18"/>
    </row>
    <row r="60" spans="1:17" x14ac:dyDescent="0.2">
      <c r="A60" s="18">
        <v>19</v>
      </c>
      <c r="B60" s="18">
        <v>185.3</v>
      </c>
      <c r="C60" s="18">
        <f t="shared" si="2"/>
        <v>184.8</v>
      </c>
      <c r="D60" s="18">
        <f t="shared" si="3"/>
        <v>-0.5</v>
      </c>
      <c r="E60" s="18">
        <v>173.9</v>
      </c>
      <c r="F60" s="18">
        <f t="shared" si="4"/>
        <v>173.7</v>
      </c>
      <c r="G60" s="18">
        <f t="shared" si="5"/>
        <v>-0.20000000000001705</v>
      </c>
      <c r="H60" s="18">
        <v>177.2</v>
      </c>
      <c r="I60" s="18">
        <f t="shared" si="6"/>
        <v>176.9</v>
      </c>
      <c r="J60" s="18">
        <f t="shared" si="7"/>
        <v>-0.29999999999998295</v>
      </c>
      <c r="K60" s="18"/>
      <c r="L60" s="18"/>
      <c r="M60" s="18"/>
      <c r="N60" s="18"/>
      <c r="O60" s="18"/>
      <c r="P60" s="18"/>
      <c r="Q60" s="18"/>
    </row>
    <row r="61" spans="1:17" x14ac:dyDescent="0.2">
      <c r="A61" s="18">
        <v>20</v>
      </c>
      <c r="B61" s="18">
        <v>183.8</v>
      </c>
      <c r="C61" s="18">
        <f t="shared" si="2"/>
        <v>185.3</v>
      </c>
      <c r="D61" s="18">
        <f t="shared" si="3"/>
        <v>1.5</v>
      </c>
      <c r="E61" s="18">
        <v>173.8</v>
      </c>
      <c r="F61" s="18">
        <f t="shared" si="4"/>
        <v>173.9</v>
      </c>
      <c r="G61" s="18">
        <f t="shared" si="5"/>
        <v>9.9999999999994316E-2</v>
      </c>
      <c r="H61" s="18">
        <v>177</v>
      </c>
      <c r="I61" s="18">
        <f t="shared" si="6"/>
        <v>177.2</v>
      </c>
      <c r="J61" s="18">
        <f t="shared" si="7"/>
        <v>0.19999999999998863</v>
      </c>
      <c r="K61" s="18"/>
      <c r="L61" s="18"/>
      <c r="M61" s="18"/>
      <c r="N61" s="18"/>
      <c r="O61" s="18"/>
      <c r="P61" s="18"/>
      <c r="Q61" s="18"/>
    </row>
    <row r="62" spans="1:17" x14ac:dyDescent="0.2">
      <c r="A62" s="18">
        <v>21</v>
      </c>
      <c r="B62" s="18">
        <v>182.8</v>
      </c>
      <c r="C62" s="18">
        <f t="shared" si="2"/>
        <v>183.8</v>
      </c>
      <c r="D62" s="18">
        <f t="shared" si="3"/>
        <v>1</v>
      </c>
      <c r="E62" s="18">
        <v>173.7</v>
      </c>
      <c r="F62" s="18">
        <f t="shared" si="4"/>
        <v>173.8</v>
      </c>
      <c r="G62" s="18">
        <f t="shared" si="5"/>
        <v>0.10000000000002274</v>
      </c>
      <c r="H62" s="18">
        <v>177.5</v>
      </c>
      <c r="I62" s="18">
        <f t="shared" si="6"/>
        <v>177</v>
      </c>
      <c r="J62" s="18">
        <f t="shared" si="7"/>
        <v>-0.5</v>
      </c>
      <c r="K62" s="18"/>
      <c r="L62" s="18"/>
      <c r="M62" s="18"/>
      <c r="N62" s="18"/>
      <c r="O62" s="18"/>
      <c r="P62" s="18"/>
      <c r="Q62" s="18"/>
    </row>
    <row r="63" spans="1:17" x14ac:dyDescent="0.2">
      <c r="A63" s="18">
        <v>22</v>
      </c>
      <c r="B63" s="18">
        <v>183.1</v>
      </c>
      <c r="C63" s="18">
        <f t="shared" si="2"/>
        <v>182.8</v>
      </c>
      <c r="D63" s="18">
        <f t="shared" si="3"/>
        <v>-0.29999999999998295</v>
      </c>
      <c r="E63" s="18">
        <v>174</v>
      </c>
      <c r="F63" s="18">
        <f t="shared" si="4"/>
        <v>173.7</v>
      </c>
      <c r="G63" s="18">
        <f t="shared" si="5"/>
        <v>-0.30000000000001137</v>
      </c>
      <c r="H63" s="18">
        <v>178</v>
      </c>
      <c r="I63" s="18">
        <f t="shared" si="6"/>
        <v>177.5</v>
      </c>
      <c r="J63" s="18">
        <f t="shared" si="7"/>
        <v>-0.5</v>
      </c>
      <c r="K63" s="18"/>
      <c r="L63" s="18"/>
      <c r="M63" s="18"/>
      <c r="N63" s="18"/>
      <c r="O63" s="18"/>
      <c r="P63" s="18"/>
      <c r="Q63" s="18"/>
    </row>
    <row r="64" spans="1:17" x14ac:dyDescent="0.2">
      <c r="A64" s="18">
        <v>23</v>
      </c>
      <c r="B64" s="18">
        <v>183</v>
      </c>
      <c r="C64" s="18">
        <f t="shared" si="2"/>
        <v>183.1</v>
      </c>
      <c r="D64" s="18">
        <f t="shared" si="3"/>
        <v>9.9999999999994316E-2</v>
      </c>
      <c r="E64" s="18">
        <v>173.4</v>
      </c>
      <c r="F64" s="18">
        <f t="shared" si="4"/>
        <v>174</v>
      </c>
      <c r="G64" s="18">
        <f t="shared" si="5"/>
        <v>0.59999999999999432</v>
      </c>
      <c r="H64" s="18">
        <v>177.6</v>
      </c>
      <c r="I64" s="18">
        <f t="shared" si="6"/>
        <v>178</v>
      </c>
      <c r="J64" s="18">
        <f t="shared" si="7"/>
        <v>0.40000000000000568</v>
      </c>
      <c r="K64" s="18"/>
      <c r="L64" s="18"/>
      <c r="M64" s="18"/>
      <c r="N64" s="18"/>
      <c r="O64" s="18"/>
      <c r="P64" s="18"/>
      <c r="Q64" s="18"/>
    </row>
    <row r="65" spans="1:17" x14ac:dyDescent="0.2">
      <c r="A65" s="18">
        <v>24</v>
      </c>
      <c r="B65" s="18">
        <v>182.2</v>
      </c>
      <c r="C65" s="18">
        <f t="shared" si="2"/>
        <v>183</v>
      </c>
      <c r="D65" s="18">
        <f t="shared" si="3"/>
        <v>0.80000000000001137</v>
      </c>
      <c r="E65" s="18">
        <v>171.7</v>
      </c>
      <c r="F65" s="18">
        <f t="shared" si="4"/>
        <v>173.4</v>
      </c>
      <c r="G65" s="18">
        <f t="shared" si="5"/>
        <v>1.7000000000000171</v>
      </c>
      <c r="H65" s="18">
        <v>191.1</v>
      </c>
      <c r="I65" s="18">
        <f t="shared" si="6"/>
        <v>177.6</v>
      </c>
      <c r="J65" s="18">
        <f t="shared" si="7"/>
        <v>-13.5</v>
      </c>
      <c r="K65" s="18"/>
      <c r="L65" s="18"/>
      <c r="M65" s="18"/>
      <c r="N65" s="18"/>
      <c r="O65" s="18"/>
      <c r="P65" s="18"/>
      <c r="Q65" s="18"/>
    </row>
    <row r="66" spans="1:17" x14ac:dyDescent="0.2">
      <c r="H66" s="18"/>
      <c r="I66" s="18"/>
      <c r="J66" s="18"/>
    </row>
    <row r="67" spans="1:17" x14ac:dyDescent="0.2">
      <c r="B67" s="18"/>
      <c r="C67" s="18"/>
      <c r="D67" s="18"/>
      <c r="E67" s="18"/>
      <c r="F67" s="18"/>
      <c r="G67" s="18"/>
      <c r="H67" s="18"/>
      <c r="I67" s="18"/>
      <c r="J67" s="18"/>
    </row>
    <row r="68" spans="1:17" x14ac:dyDescent="0.2"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spans="1:17" x14ac:dyDescent="0.2">
      <c r="B69" s="18"/>
      <c r="C69" s="18"/>
      <c r="D69" s="18"/>
      <c r="E69" s="18"/>
      <c r="F69" s="18"/>
      <c r="G69" s="18"/>
      <c r="H69" s="18"/>
      <c r="I69" s="18"/>
      <c r="J69" s="18"/>
      <c r="K69" s="18"/>
    </row>
    <row r="70" spans="1:17" x14ac:dyDescent="0.2"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7" x14ac:dyDescent="0.2"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spans="1:17" x14ac:dyDescent="0.2"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spans="1:17" x14ac:dyDescent="0.2"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spans="1:17" x14ac:dyDescent="0.2"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spans="1:17" x14ac:dyDescent="0.2">
      <c r="B75" s="18"/>
      <c r="C75" s="18"/>
      <c r="D75" s="18"/>
      <c r="E75" s="18"/>
      <c r="F75" s="18"/>
      <c r="G75" s="18"/>
      <c r="H75" s="18"/>
      <c r="I75" s="18"/>
      <c r="J75" s="18"/>
      <c r="K75" s="18"/>
    </row>
    <row r="76" spans="1:17" x14ac:dyDescent="0.2"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spans="1:17" x14ac:dyDescent="0.2"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 spans="1:17" x14ac:dyDescent="0.2"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spans="1:17" x14ac:dyDescent="0.2"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spans="1:17" x14ac:dyDescent="0.2"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spans="2:11" x14ac:dyDescent="0.2">
      <c r="B81" s="18"/>
      <c r="C81" s="18"/>
      <c r="D81" s="18"/>
      <c r="E81" s="18"/>
      <c r="F81" s="18"/>
      <c r="G81" s="18"/>
      <c r="H81" s="18"/>
      <c r="I81" s="18"/>
      <c r="J81" s="18"/>
      <c r="K81" s="18"/>
    </row>
    <row r="82" spans="2:11" x14ac:dyDescent="0.2"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spans="2:11" x14ac:dyDescent="0.2"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 spans="2:11" x14ac:dyDescent="0.2"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spans="2:11" x14ac:dyDescent="0.2"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spans="2:11" x14ac:dyDescent="0.2"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spans="2:11" x14ac:dyDescent="0.2"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spans="2:11" x14ac:dyDescent="0.2"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2:11" x14ac:dyDescent="0.2"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 spans="2:11" x14ac:dyDescent="0.2">
      <c r="B90" s="18"/>
      <c r="C90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2B32-873B-9243-A01D-58052F25BB50}">
  <dimension ref="A1:H31"/>
  <sheetViews>
    <sheetView workbookViewId="0">
      <selection sqref="A1:H9"/>
    </sheetView>
  </sheetViews>
  <sheetFormatPr baseColWidth="10" defaultRowHeight="16" x14ac:dyDescent="0.2"/>
  <cols>
    <col min="1" max="1" width="24.6640625" customWidth="1"/>
    <col min="2" max="2" width="24" customWidth="1"/>
    <col min="3" max="3" width="23.5" customWidth="1"/>
    <col min="4" max="4" width="25.83203125" customWidth="1"/>
    <col min="5" max="5" width="17.33203125" customWidth="1"/>
    <col min="6" max="6" width="25.1640625" customWidth="1"/>
    <col min="7" max="7" width="18.6640625" customWidth="1"/>
    <col min="8" max="8" width="22" customWidth="1"/>
  </cols>
  <sheetData>
    <row r="1" spans="1:8" ht="22" x14ac:dyDescent="0.3">
      <c r="B1" s="38" t="s">
        <v>77</v>
      </c>
    </row>
    <row r="2" spans="1:8" ht="20" x14ac:dyDescent="0.2">
      <c r="A2" s="30" t="s">
        <v>78</v>
      </c>
      <c r="B2" s="33" t="s">
        <v>80</v>
      </c>
      <c r="C2" s="33" t="s">
        <v>81</v>
      </c>
      <c r="D2" s="33" t="s">
        <v>82</v>
      </c>
      <c r="E2" s="33" t="s">
        <v>79</v>
      </c>
      <c r="F2" s="33" t="s">
        <v>84</v>
      </c>
      <c r="G2" s="33" t="s">
        <v>86</v>
      </c>
      <c r="H2" s="33" t="s">
        <v>87</v>
      </c>
    </row>
    <row r="3" spans="1:8" x14ac:dyDescent="0.2">
      <c r="A3">
        <v>1</v>
      </c>
      <c r="B3" s="34">
        <v>171.450959712817</v>
      </c>
      <c r="C3" s="40">
        <v>865318870.98242497</v>
      </c>
      <c r="D3" s="40">
        <v>3119378.6879999898</v>
      </c>
      <c r="E3" s="41">
        <v>22.4339493712191</v>
      </c>
      <c r="F3" s="41">
        <v>171.450959712817</v>
      </c>
      <c r="G3" s="41">
        <v>631.64678002071105</v>
      </c>
      <c r="H3" s="41">
        <v>631.64678002071105</v>
      </c>
    </row>
    <row r="4" spans="1:8" x14ac:dyDescent="0.2">
      <c r="A4">
        <v>2</v>
      </c>
      <c r="B4" s="35">
        <v>207.463694205069</v>
      </c>
      <c r="C4" s="40">
        <v>888435811.692541</v>
      </c>
      <c r="D4" s="40">
        <v>3731021.56700456</v>
      </c>
      <c r="E4" s="41">
        <v>22.695944619573499</v>
      </c>
      <c r="F4" s="41">
        <v>207.46369426031799</v>
      </c>
      <c r="G4" s="41">
        <v>705.51485272517505</v>
      </c>
      <c r="H4" s="41">
        <v>705.51485272517505</v>
      </c>
    </row>
    <row r="5" spans="1:8" x14ac:dyDescent="0.2">
      <c r="A5">
        <v>3</v>
      </c>
      <c r="B5" s="36">
        <v>244.149159882921</v>
      </c>
      <c r="C5" s="40">
        <v>910941109.52416599</v>
      </c>
      <c r="D5" s="40">
        <v>4342664.4454928897</v>
      </c>
      <c r="E5" s="41">
        <v>22.947367813052502</v>
      </c>
      <c r="F5" s="41">
        <v>244.14916002346001</v>
      </c>
      <c r="G5" s="41">
        <v>767.41747193569802</v>
      </c>
      <c r="H5" s="41">
        <v>767.41747193569802</v>
      </c>
    </row>
    <row r="6" spans="1:8" x14ac:dyDescent="0.2">
      <c r="A6">
        <v>4</v>
      </c>
      <c r="B6" s="36">
        <v>281.46498514612603</v>
      </c>
      <c r="C6" s="40">
        <v>932834764.47716999</v>
      </c>
      <c r="D6" s="40">
        <v>4954307.3241135301</v>
      </c>
      <c r="E6" s="41">
        <v>23.188643717563</v>
      </c>
      <c r="F6" s="41">
        <v>281.46498536594402</v>
      </c>
      <c r="G6" s="41">
        <v>826.44958517181396</v>
      </c>
      <c r="H6" s="41">
        <v>826.44958517181396</v>
      </c>
    </row>
    <row r="7" spans="1:8" x14ac:dyDescent="0.2">
      <c r="A7">
        <v>5</v>
      </c>
      <c r="B7" s="36">
        <v>319.370842240402</v>
      </c>
      <c r="C7" s="40">
        <v>954116776.55174005</v>
      </c>
      <c r="D7" s="40">
        <v>5565950.2025504103</v>
      </c>
      <c r="E7" s="41">
        <v>23.420160272347701</v>
      </c>
      <c r="F7" s="41">
        <v>319.370842551203</v>
      </c>
      <c r="G7" s="41">
        <v>885.48169840785499</v>
      </c>
      <c r="H7" s="41">
        <v>885.48169840785499</v>
      </c>
    </row>
    <row r="8" spans="1:8" x14ac:dyDescent="0.2">
      <c r="A8">
        <v>6</v>
      </c>
      <c r="B8" s="36">
        <v>355.19748083730701</v>
      </c>
      <c r="C8" s="40">
        <v>958590101.45702004</v>
      </c>
      <c r="D8" s="40">
        <v>6177593.0804516599</v>
      </c>
      <c r="E8" s="41">
        <v>23.468454739408699</v>
      </c>
      <c r="F8" s="41">
        <v>355.197481271318</v>
      </c>
      <c r="G8" s="41">
        <v>944.51381164374402</v>
      </c>
      <c r="H8" s="41">
        <v>944.51381164374402</v>
      </c>
    </row>
    <row r="9" spans="1:8" x14ac:dyDescent="0.2">
      <c r="A9">
        <v>7</v>
      </c>
      <c r="B9" s="36">
        <v>390.365548069243</v>
      </c>
      <c r="C9" s="40">
        <v>958590101.45702004</v>
      </c>
      <c r="D9" s="40">
        <v>6789235.95661378</v>
      </c>
      <c r="E9" s="41">
        <v>23.468454739408699</v>
      </c>
      <c r="F9" s="41">
        <v>390.36554872392401</v>
      </c>
      <c r="G9" s="41">
        <v>1003.54592487917</v>
      </c>
      <c r="H9" s="41">
        <v>1003.54592487918</v>
      </c>
    </row>
    <row r="10" spans="1:8" x14ac:dyDescent="0.2">
      <c r="E10" s="37"/>
      <c r="F10" s="37"/>
    </row>
    <row r="11" spans="1:8" ht="22" x14ac:dyDescent="0.3">
      <c r="B11" s="38" t="s">
        <v>83</v>
      </c>
      <c r="E11" s="37"/>
      <c r="F11" s="37"/>
    </row>
    <row r="12" spans="1:8" x14ac:dyDescent="0.2">
      <c r="A12">
        <v>1</v>
      </c>
      <c r="B12" s="36">
        <v>171.450934668581</v>
      </c>
      <c r="C12" s="40">
        <v>865318870.98242497</v>
      </c>
      <c r="D12" s="40">
        <v>3119378.6879999898</v>
      </c>
      <c r="E12" s="41">
        <v>22.4339493712191</v>
      </c>
      <c r="F12" s="41">
        <v>171.450959712817</v>
      </c>
      <c r="G12" s="41">
        <v>631.64144910793004</v>
      </c>
      <c r="H12" s="41">
        <v>631.64678002071105</v>
      </c>
    </row>
    <row r="13" spans="1:8" x14ac:dyDescent="0.2">
      <c r="A13">
        <v>2</v>
      </c>
      <c r="B13" s="42">
        <v>208.61339677714801</v>
      </c>
      <c r="C13" s="40">
        <v>888435811.69154596</v>
      </c>
      <c r="D13" s="40">
        <v>3731021.5679999902</v>
      </c>
      <c r="E13" s="41">
        <v>22.695944619573499</v>
      </c>
      <c r="F13" s="41">
        <v>207.46369426031799</v>
      </c>
      <c r="G13" s="41">
        <v>705.74894394609305</v>
      </c>
      <c r="H13" s="41">
        <v>705.51485271403703</v>
      </c>
    </row>
    <row r="14" spans="1:8" x14ac:dyDescent="0.2">
      <c r="A14">
        <v>3</v>
      </c>
      <c r="B14" s="42">
        <v>245.70328666538799</v>
      </c>
      <c r="C14" s="40">
        <v>910941109.520666</v>
      </c>
      <c r="D14" s="40">
        <v>4342664.4479999896</v>
      </c>
      <c r="E14" s="41">
        <v>22.947367813052502</v>
      </c>
      <c r="F14" s="41">
        <v>244.14916002346001</v>
      </c>
      <c r="G14" s="41">
        <v>767.417471912221</v>
      </c>
      <c r="H14" s="41">
        <v>767.417471912221</v>
      </c>
    </row>
    <row r="15" spans="1:8" x14ac:dyDescent="0.2">
      <c r="A15">
        <v>4</v>
      </c>
      <c r="B15" s="42">
        <v>282.71941284447797</v>
      </c>
      <c r="C15" s="40">
        <v>932834764.46978498</v>
      </c>
      <c r="D15" s="40">
        <v>4954307.3279999904</v>
      </c>
      <c r="E15" s="41">
        <v>23.188643717563</v>
      </c>
      <c r="F15" s="41">
        <v>281.46498536594402</v>
      </c>
      <c r="G15" s="41">
        <v>826.44958513623806</v>
      </c>
      <c r="H15" s="41">
        <v>826.44958513623806</v>
      </c>
    </row>
    <row r="16" spans="1:8" x14ac:dyDescent="0.2">
      <c r="A16">
        <v>5</v>
      </c>
      <c r="B16" s="42">
        <v>319.66017284806901</v>
      </c>
      <c r="C16" s="40">
        <v>954116776.53890502</v>
      </c>
      <c r="D16" s="40">
        <v>5565950.2080000499</v>
      </c>
      <c r="E16" s="41">
        <v>23.420160272347701</v>
      </c>
      <c r="F16" s="41">
        <v>319.370842551203</v>
      </c>
      <c r="G16" s="41">
        <v>885.481698360255</v>
      </c>
      <c r="H16" s="41">
        <v>885.481698360255</v>
      </c>
    </row>
    <row r="17" spans="1:8" x14ac:dyDescent="0.2">
      <c r="A17">
        <v>6</v>
      </c>
      <c r="B17" s="36">
        <v>355.19748127132198</v>
      </c>
      <c r="C17" s="40">
        <v>958590101.45702004</v>
      </c>
      <c r="D17" s="40">
        <v>6177593.0880000498</v>
      </c>
      <c r="E17" s="41">
        <v>23.468454739408699</v>
      </c>
      <c r="F17" s="41">
        <v>355.197481271318</v>
      </c>
      <c r="G17" s="41">
        <v>944.51381158427296</v>
      </c>
      <c r="H17" s="41">
        <v>944.51381158427296</v>
      </c>
    </row>
    <row r="18" spans="1:8" x14ac:dyDescent="0.2">
      <c r="A18">
        <v>7</v>
      </c>
      <c r="B18" s="36">
        <v>390.36554872392799</v>
      </c>
      <c r="C18" s="40">
        <v>958590101.45702004</v>
      </c>
      <c r="D18" s="40">
        <v>6789235.9680000497</v>
      </c>
      <c r="E18" s="41">
        <v>23.468454739408699</v>
      </c>
      <c r="F18" s="41">
        <v>390.36554872392401</v>
      </c>
      <c r="G18" s="41">
        <v>1003.54592480829</v>
      </c>
      <c r="H18" s="41">
        <v>1003.54592480828</v>
      </c>
    </row>
    <row r="20" spans="1:8" ht="22" x14ac:dyDescent="0.3">
      <c r="B20" s="38" t="s">
        <v>47</v>
      </c>
    </row>
    <row r="21" spans="1:8" x14ac:dyDescent="0.2">
      <c r="A21">
        <v>1</v>
      </c>
      <c r="B21" s="32">
        <f>B12-B3</f>
        <v>-2.5044235997029318E-5</v>
      </c>
      <c r="C21" s="39">
        <f>C12-C3</f>
        <v>0</v>
      </c>
      <c r="D21" s="39">
        <f t="shared" ref="D21:F21" si="0">D12-D3</f>
        <v>0</v>
      </c>
      <c r="E21" s="39">
        <f t="shared" si="0"/>
        <v>0</v>
      </c>
      <c r="F21" s="39">
        <f t="shared" si="0"/>
        <v>0</v>
      </c>
      <c r="G21" s="39">
        <f t="shared" ref="G21:H21" si="1">G12-G3</f>
        <v>-5.3309127810052814E-3</v>
      </c>
      <c r="H21" s="39">
        <f t="shared" si="1"/>
        <v>0</v>
      </c>
    </row>
    <row r="22" spans="1:8" x14ac:dyDescent="0.2">
      <c r="A22">
        <v>2</v>
      </c>
      <c r="B22" s="43">
        <f t="shared" ref="B22:C27" si="2">B13-B4</f>
        <v>1.1497025720790077</v>
      </c>
      <c r="C22" s="39">
        <f t="shared" si="2"/>
        <v>-9.9503993988037109E-4</v>
      </c>
      <c r="D22" s="39">
        <f t="shared" ref="D22:F22" si="3">D13-D4</f>
        <v>9.9543016403913498E-4</v>
      </c>
      <c r="E22" s="39">
        <f t="shared" si="3"/>
        <v>0</v>
      </c>
      <c r="F22" s="39">
        <f t="shared" si="3"/>
        <v>0</v>
      </c>
      <c r="G22" s="39">
        <f t="shared" ref="G22:H22" si="4">G13-G4</f>
        <v>0.23409122091800327</v>
      </c>
      <c r="H22" s="39">
        <f t="shared" si="4"/>
        <v>-1.1138013178424444E-8</v>
      </c>
    </row>
    <row r="23" spans="1:8" x14ac:dyDescent="0.2">
      <c r="A23">
        <v>3</v>
      </c>
      <c r="B23" s="43">
        <f t="shared" si="2"/>
        <v>1.5541267824669944</v>
      </c>
      <c r="C23" s="39">
        <f t="shared" si="2"/>
        <v>-3.4999847412109375E-3</v>
      </c>
      <c r="D23" s="39">
        <f t="shared" ref="D23:F23" si="5">D14-D5</f>
        <v>2.5070998817682266E-3</v>
      </c>
      <c r="E23" s="39">
        <f t="shared" si="5"/>
        <v>0</v>
      </c>
      <c r="F23" s="39">
        <f t="shared" si="5"/>
        <v>0</v>
      </c>
      <c r="G23" s="39">
        <f t="shared" ref="G23:H23" si="6">G14-G5</f>
        <v>-2.347701411054004E-8</v>
      </c>
      <c r="H23" s="39">
        <f t="shared" si="6"/>
        <v>-2.347701411054004E-8</v>
      </c>
    </row>
    <row r="24" spans="1:8" x14ac:dyDescent="0.2">
      <c r="A24">
        <v>4</v>
      </c>
      <c r="B24" s="43">
        <f t="shared" si="2"/>
        <v>1.2544276983519467</v>
      </c>
      <c r="C24" s="39">
        <f t="shared" si="2"/>
        <v>-7.3850154876708984E-3</v>
      </c>
      <c r="D24" s="39">
        <f t="shared" ref="D24:F24" si="7">D15-D6</f>
        <v>3.8864603266119957E-3</v>
      </c>
      <c r="E24" s="39">
        <f t="shared" si="7"/>
        <v>0</v>
      </c>
      <c r="F24" s="39">
        <f t="shared" si="7"/>
        <v>0</v>
      </c>
      <c r="G24" s="39">
        <f t="shared" ref="G24:H24" si="8">G15-G6</f>
        <v>-3.5575908441387583E-8</v>
      </c>
      <c r="H24" s="39">
        <f t="shared" si="8"/>
        <v>-3.5575908441387583E-8</v>
      </c>
    </row>
    <row r="25" spans="1:8" x14ac:dyDescent="0.2">
      <c r="A25">
        <v>5</v>
      </c>
      <c r="B25" s="32">
        <f t="shared" si="2"/>
        <v>0.28933060766701146</v>
      </c>
      <c r="C25" s="39">
        <f t="shared" si="2"/>
        <v>-1.2835025787353516E-2</v>
      </c>
      <c r="D25" s="39">
        <f t="shared" ref="D25:F25" si="9">D16-D7</f>
        <v>5.4496396332979202E-3</v>
      </c>
      <c r="E25" s="39">
        <f t="shared" si="9"/>
        <v>0</v>
      </c>
      <c r="F25" s="39">
        <f t="shared" si="9"/>
        <v>0</v>
      </c>
      <c r="G25" s="39">
        <f t="shared" ref="G25:H25" si="10">G16-G7</f>
        <v>-4.7599996833014302E-8</v>
      </c>
      <c r="H25" s="39">
        <f t="shared" si="10"/>
        <v>-4.7599996833014302E-8</v>
      </c>
    </row>
    <row r="26" spans="1:8" x14ac:dyDescent="0.2">
      <c r="A26">
        <v>6</v>
      </c>
      <c r="B26" s="32">
        <f t="shared" si="2"/>
        <v>4.3401496441219933E-7</v>
      </c>
      <c r="C26" s="39">
        <f t="shared" si="2"/>
        <v>0</v>
      </c>
      <c r="D26" s="39">
        <f t="shared" ref="D26:F26" si="11">D17-D8</f>
        <v>7.5483899563550949E-3</v>
      </c>
      <c r="E26" s="39">
        <f t="shared" si="11"/>
        <v>0</v>
      </c>
      <c r="F26" s="39">
        <f t="shared" si="11"/>
        <v>0</v>
      </c>
      <c r="G26" s="39">
        <f t="shared" ref="G26:H26" si="12">G17-G8</f>
        <v>-5.9471062741067726E-8</v>
      </c>
      <c r="H26" s="39">
        <f t="shared" si="12"/>
        <v>-5.9471062741067726E-8</v>
      </c>
    </row>
    <row r="27" spans="1:8" x14ac:dyDescent="0.2">
      <c r="A27">
        <v>7</v>
      </c>
      <c r="B27" s="32">
        <f t="shared" si="2"/>
        <v>6.5468498178233858E-7</v>
      </c>
      <c r="C27" s="39">
        <f t="shared" si="2"/>
        <v>0</v>
      </c>
      <c r="D27" s="39">
        <f t="shared" ref="D27:F27" si="13">D18-D9</f>
        <v>1.1386269703507423E-2</v>
      </c>
      <c r="E27" s="39">
        <f t="shared" si="13"/>
        <v>0</v>
      </c>
      <c r="F27" s="39">
        <f t="shared" si="13"/>
        <v>0</v>
      </c>
      <c r="G27" s="39">
        <f t="shared" ref="G27:H27" si="14">G18-G9</f>
        <v>-7.0879991653782781E-8</v>
      </c>
      <c r="H27" s="39">
        <f t="shared" si="14"/>
        <v>-7.0900000537221786E-8</v>
      </c>
    </row>
    <row r="28" spans="1:8" x14ac:dyDescent="0.2">
      <c r="B28" s="31"/>
      <c r="C28" s="31"/>
      <c r="D28" s="31"/>
      <c r="E28" s="31"/>
      <c r="F28" s="31"/>
    </row>
    <row r="29" spans="1:8" x14ac:dyDescent="0.2">
      <c r="A29" t="s">
        <v>85</v>
      </c>
      <c r="B29" s="43">
        <f>SUM(B21:B27)</f>
        <v>4.2475637050289095</v>
      </c>
      <c r="C29" s="32">
        <f t="shared" ref="C29:E29" si="15">SUM(C21:C27)</f>
        <v>-2.4715065956115723E-2</v>
      </c>
      <c r="D29" s="32">
        <f t="shared" si="15"/>
        <v>3.1773289665579796E-2</v>
      </c>
      <c r="E29" s="32">
        <f t="shared" si="15"/>
        <v>0</v>
      </c>
      <c r="F29" s="32">
        <f>SUM(F21:F27)</f>
        <v>0</v>
      </c>
      <c r="G29" s="32">
        <f t="shared" ref="G29:H29" si="16">SUM(G21:G27)</f>
        <v>0.22876007113302421</v>
      </c>
      <c r="H29" s="32">
        <f t="shared" si="16"/>
        <v>-2.4816199584165588E-7</v>
      </c>
    </row>
    <row r="30" spans="1:8" x14ac:dyDescent="0.2">
      <c r="B30" s="31"/>
      <c r="C30" s="31"/>
      <c r="D30" s="31"/>
      <c r="E30" s="31"/>
      <c r="F30" s="31"/>
    </row>
    <row r="31" spans="1:8" x14ac:dyDescent="0.2">
      <c r="B31" s="31"/>
      <c r="C31" s="31"/>
      <c r="D31" s="31"/>
      <c r="E31" s="31"/>
      <c r="F31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049F-3A37-D04F-B434-CE1608A3C430}">
  <dimension ref="A1:H21"/>
  <sheetViews>
    <sheetView workbookViewId="0">
      <selection activeCell="F25" sqref="F25"/>
    </sheetView>
  </sheetViews>
  <sheetFormatPr baseColWidth="10" defaultRowHeight="16" x14ac:dyDescent="0.2"/>
  <cols>
    <col min="1" max="1" width="21.6640625" customWidth="1"/>
    <col min="2" max="3" width="16.6640625" customWidth="1"/>
    <col min="4" max="4" width="19.5" customWidth="1"/>
    <col min="5" max="5" width="17.6640625" customWidth="1"/>
    <col min="6" max="6" width="23" customWidth="1"/>
    <col min="7" max="7" width="17.6640625" customWidth="1"/>
    <col min="8" max="8" width="27" customWidth="1"/>
  </cols>
  <sheetData>
    <row r="1" spans="1:8" x14ac:dyDescent="0.2">
      <c r="B1" t="s">
        <v>92</v>
      </c>
      <c r="C1" s="48" t="s">
        <v>93</v>
      </c>
      <c r="E1" t="s">
        <v>94</v>
      </c>
    </row>
    <row r="3" spans="1:8" ht="27" x14ac:dyDescent="0.35">
      <c r="B3" s="44" t="s">
        <v>77</v>
      </c>
    </row>
    <row r="4" spans="1:8" ht="20" x14ac:dyDescent="0.2">
      <c r="A4" s="30" t="s">
        <v>78</v>
      </c>
      <c r="B4" s="33" t="s">
        <v>80</v>
      </c>
      <c r="C4" s="33" t="s">
        <v>81</v>
      </c>
      <c r="D4" s="33" t="s">
        <v>82</v>
      </c>
      <c r="E4" s="33" t="s">
        <v>79</v>
      </c>
      <c r="F4" s="33" t="s">
        <v>84</v>
      </c>
      <c r="G4" s="33" t="s">
        <v>88</v>
      </c>
      <c r="H4" s="33"/>
    </row>
    <row r="5" spans="1:8" x14ac:dyDescent="0.2">
      <c r="A5">
        <v>1</v>
      </c>
      <c r="B5" s="34">
        <v>173.540663919362</v>
      </c>
      <c r="C5" s="40">
        <v>889452769.920017</v>
      </c>
      <c r="D5" s="40">
        <v>3119378.6879999898</v>
      </c>
      <c r="E5" s="41">
        <v>22.707382185179199</v>
      </c>
      <c r="F5" s="41">
        <v>173.54066391936101</v>
      </c>
      <c r="G5" s="36">
        <v>8.7856315076351098E-6</v>
      </c>
      <c r="H5" s="41"/>
    </row>
    <row r="6" spans="1:8" x14ac:dyDescent="0.2">
      <c r="A6">
        <v>2</v>
      </c>
      <c r="B6" s="35">
        <v>209.92702924016601</v>
      </c>
      <c r="C6" s="40">
        <v>912569710.63206899</v>
      </c>
      <c r="D6" s="40">
        <v>3731021.565068</v>
      </c>
      <c r="E6" s="41">
        <v>22.965426555801301</v>
      </c>
      <c r="F6" s="41">
        <v>209.92702924016601</v>
      </c>
      <c r="G6" s="36">
        <v>0</v>
      </c>
      <c r="H6" s="41"/>
    </row>
    <row r="7" spans="1:8" x14ac:dyDescent="0.2">
      <c r="A7">
        <v>3</v>
      </c>
      <c r="B7" s="36">
        <v>246.97698326036701</v>
      </c>
      <c r="C7" s="40">
        <v>935075008.46702194</v>
      </c>
      <c r="D7" s="40">
        <v>4342664.4421666795</v>
      </c>
      <c r="E7" s="41">
        <v>23.213152497850199</v>
      </c>
      <c r="F7" s="41">
        <v>246.97698326036701</v>
      </c>
      <c r="G7" s="36">
        <v>0</v>
      </c>
      <c r="H7" s="41"/>
    </row>
    <row r="8" spans="1:8" x14ac:dyDescent="0.2">
      <c r="A8">
        <v>4</v>
      </c>
      <c r="B8" s="36">
        <v>284.64904411047303</v>
      </c>
      <c r="C8" s="40">
        <v>956968663.42197502</v>
      </c>
      <c r="D8" s="40">
        <v>4954307.3221666804</v>
      </c>
      <c r="E8" s="41">
        <v>23.4509641318711</v>
      </c>
      <c r="F8" s="41">
        <v>284.64904411047303</v>
      </c>
      <c r="G8" s="36">
        <v>0</v>
      </c>
      <c r="H8" s="41"/>
    </row>
    <row r="9" spans="1:8" x14ac:dyDescent="0.2">
      <c r="A9">
        <v>5</v>
      </c>
      <c r="B9" s="36">
        <v>320.02941347805597</v>
      </c>
      <c r="C9" s="40">
        <v>958590101.42128205</v>
      </c>
      <c r="D9" s="40">
        <v>5565950.2021666802</v>
      </c>
      <c r="E9" s="41">
        <v>23.468454739023301</v>
      </c>
      <c r="F9" s="41">
        <v>320.02941347805597</v>
      </c>
      <c r="G9" s="47">
        <v>19660574.075646799</v>
      </c>
      <c r="H9" s="41"/>
    </row>
    <row r="10" spans="1:8" x14ac:dyDescent="0.2">
      <c r="A10">
        <v>6</v>
      </c>
      <c r="B10" s="36">
        <v>355.19748093591699</v>
      </c>
      <c r="C10" s="40">
        <v>958590101.45702004</v>
      </c>
      <c r="D10" s="40">
        <v>6177593.0821666801</v>
      </c>
      <c r="E10" s="41">
        <v>23.468454739408699</v>
      </c>
      <c r="F10" s="41">
        <v>355.19748093591699</v>
      </c>
      <c r="G10" s="47">
        <v>20670369.159214702</v>
      </c>
      <c r="H10" s="41"/>
    </row>
    <row r="11" spans="1:8" x14ac:dyDescent="0.2">
      <c r="A11">
        <v>7</v>
      </c>
      <c r="B11" s="36">
        <v>390.36554838785298</v>
      </c>
      <c r="C11" s="40">
        <v>958590101.45328403</v>
      </c>
      <c r="D11" s="40">
        <v>6789235.96216668</v>
      </c>
      <c r="E11" s="41">
        <v>23.468454739368401</v>
      </c>
      <c r="F11" s="41">
        <v>390.36554838785202</v>
      </c>
      <c r="G11" s="47">
        <v>20058726.318689901</v>
      </c>
      <c r="H11" s="41"/>
    </row>
    <row r="13" spans="1:8" ht="20" x14ac:dyDescent="0.2">
      <c r="A13" s="30" t="s">
        <v>78</v>
      </c>
      <c r="B13" s="33" t="s">
        <v>86</v>
      </c>
      <c r="C13" s="33" t="s">
        <v>90</v>
      </c>
      <c r="D13" s="33" t="s">
        <v>91</v>
      </c>
      <c r="E13" s="33" t="s">
        <v>79</v>
      </c>
      <c r="F13" s="33" t="s">
        <v>87</v>
      </c>
      <c r="G13" s="33" t="s">
        <v>89</v>
      </c>
    </row>
    <row r="14" spans="1:8" x14ac:dyDescent="0.2">
      <c r="A14">
        <v>1</v>
      </c>
      <c r="B14" s="36">
        <v>646.97309800004098</v>
      </c>
      <c r="C14" s="47">
        <v>129622258.171387</v>
      </c>
      <c r="D14" s="46">
        <v>5270322.8159999996</v>
      </c>
      <c r="E14" s="41">
        <v>50.1052139431063</v>
      </c>
      <c r="F14" s="45">
        <v>646.97309800004098</v>
      </c>
      <c r="G14" s="36">
        <v>0</v>
      </c>
    </row>
    <row r="15" spans="1:8" x14ac:dyDescent="0.2">
      <c r="A15">
        <v>2</v>
      </c>
      <c r="B15" s="36">
        <v>708.38535868818406</v>
      </c>
      <c r="C15" s="47">
        <v>133223556.472829</v>
      </c>
      <c r="D15" s="46">
        <v>5749443.0719998302</v>
      </c>
      <c r="E15" s="41">
        <v>50.289545870161497</v>
      </c>
      <c r="F15" s="45">
        <v>708.38535868818406</v>
      </c>
      <c r="G15" s="46">
        <v>17258578.239997301</v>
      </c>
    </row>
    <row r="16" spans="1:8" x14ac:dyDescent="0.2">
      <c r="A16">
        <v>3</v>
      </c>
      <c r="B16" s="36">
        <v>767.41747191218099</v>
      </c>
      <c r="C16" s="47">
        <v>133223556.472829</v>
      </c>
      <c r="D16" s="46">
        <v>6228563.3279996701</v>
      </c>
      <c r="E16" s="41">
        <v>50.289545870161497</v>
      </c>
      <c r="F16" s="45">
        <v>767.41747191217996</v>
      </c>
      <c r="G16" s="46">
        <v>20380756.2854403</v>
      </c>
    </row>
    <row r="17" spans="1:7" x14ac:dyDescent="0.2">
      <c r="A17">
        <v>4</v>
      </c>
      <c r="B17" s="36">
        <v>826.44958513619804</v>
      </c>
      <c r="C17" s="47">
        <v>133223556.47283</v>
      </c>
      <c r="D17" s="46">
        <v>6707683.5839996701</v>
      </c>
      <c r="E17" s="41">
        <v>50.289545870161497</v>
      </c>
      <c r="F17" s="45">
        <v>826.44958513619804</v>
      </c>
      <c r="G17" s="46">
        <v>19901636.029440001</v>
      </c>
    </row>
    <row r="18" spans="1:7" x14ac:dyDescent="0.2">
      <c r="A18">
        <v>5</v>
      </c>
      <c r="B18" s="36">
        <v>885.48169836021498</v>
      </c>
      <c r="C18" s="47">
        <v>133223556.47283</v>
      </c>
      <c r="D18" s="46">
        <v>7186803.8399996702</v>
      </c>
      <c r="E18" s="41">
        <v>50.289545870161497</v>
      </c>
      <c r="F18" s="45">
        <v>885.48169836021498</v>
      </c>
      <c r="G18" s="46">
        <v>19422515.773440301</v>
      </c>
    </row>
    <row r="19" spans="1:7" x14ac:dyDescent="0.2">
      <c r="A19">
        <v>6</v>
      </c>
      <c r="B19" s="36">
        <v>944.513811584211</v>
      </c>
      <c r="C19" s="47">
        <v>133223556.472829</v>
      </c>
      <c r="D19" s="46">
        <v>7665924.0959994998</v>
      </c>
      <c r="E19" s="41">
        <v>50.289545870161497</v>
      </c>
      <c r="F19" s="45">
        <v>944.513811584211</v>
      </c>
      <c r="G19" s="46">
        <v>18943395.517440699</v>
      </c>
    </row>
    <row r="20" spans="1:7" x14ac:dyDescent="0.2">
      <c r="A20">
        <v>7</v>
      </c>
      <c r="B20" s="36">
        <v>1003.54592480822</v>
      </c>
      <c r="C20" s="47">
        <v>133223556.47283</v>
      </c>
      <c r="D20" s="46">
        <v>8145044.3519994998</v>
      </c>
      <c r="E20" s="41">
        <v>50.289545870161497</v>
      </c>
      <c r="F20" s="45">
        <v>1003.54592480822</v>
      </c>
      <c r="G20" s="46">
        <v>18464275.261440299</v>
      </c>
    </row>
    <row r="21" spans="1:7" x14ac:dyDescent="0.2">
      <c r="B21" s="31"/>
      <c r="C21" s="31"/>
      <c r="D21" s="31"/>
      <c r="E21" s="31"/>
      <c r="F21" s="31"/>
      <c r="G21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5300-098C-3C44-97E3-2DD3A32320BD}">
  <dimension ref="A1:L51"/>
  <sheetViews>
    <sheetView workbookViewId="0">
      <selection activeCell="F15" sqref="F15"/>
    </sheetView>
  </sheetViews>
  <sheetFormatPr baseColWidth="10" defaultRowHeight="16" x14ac:dyDescent="0.2"/>
  <cols>
    <col min="1" max="1" width="25.5" customWidth="1"/>
    <col min="2" max="2" width="9.5" customWidth="1"/>
    <col min="3" max="3" width="26.1640625" customWidth="1"/>
    <col min="4" max="4" width="16.6640625" customWidth="1"/>
    <col min="5" max="5" width="29.83203125" customWidth="1"/>
    <col min="6" max="6" width="21" customWidth="1"/>
    <col min="7" max="7" width="26.33203125" customWidth="1"/>
    <col min="8" max="8" width="19.5" customWidth="1"/>
    <col min="9" max="9" width="22.83203125" customWidth="1"/>
    <col min="10" max="10" width="14.33203125" customWidth="1"/>
    <col min="11" max="11" width="22.83203125" customWidth="1"/>
    <col min="12" max="12" width="16.33203125" customWidth="1"/>
  </cols>
  <sheetData>
    <row r="1" spans="1:9" x14ac:dyDescent="0.2">
      <c r="C1" t="s">
        <v>98</v>
      </c>
      <c r="D1" s="48"/>
    </row>
    <row r="2" spans="1:9" x14ac:dyDescent="0.2">
      <c r="C2" t="s">
        <v>104</v>
      </c>
    </row>
    <row r="3" spans="1:9" ht="27" x14ac:dyDescent="0.35">
      <c r="A3" t="s">
        <v>105</v>
      </c>
      <c r="C3" s="44" t="s">
        <v>95</v>
      </c>
      <c r="H3" s="50" t="s">
        <v>99</v>
      </c>
    </row>
    <row r="4" spans="1:9" ht="20" x14ac:dyDescent="0.2">
      <c r="A4" t="s">
        <v>101</v>
      </c>
      <c r="B4" s="53" t="s">
        <v>100</v>
      </c>
      <c r="C4" s="33" t="s">
        <v>91</v>
      </c>
      <c r="D4" s="33" t="s">
        <v>89</v>
      </c>
      <c r="E4" s="33" t="s">
        <v>96</v>
      </c>
      <c r="F4" s="33" t="s">
        <v>97</v>
      </c>
      <c r="G4" s="33" t="s">
        <v>47</v>
      </c>
      <c r="H4" s="33"/>
      <c r="I4" s="33"/>
    </row>
    <row r="5" spans="1:9" ht="17" x14ac:dyDescent="0.2">
      <c r="A5" s="48" t="s">
        <v>93</v>
      </c>
      <c r="B5">
        <v>1</v>
      </c>
      <c r="C5" s="49">
        <v>5270322.8159999996</v>
      </c>
      <c r="D5" s="46">
        <v>0</v>
      </c>
      <c r="E5" s="46">
        <f>SUM(C5+D5)</f>
        <v>5270322.8159999996</v>
      </c>
      <c r="F5" s="51">
        <v>26640057.600000001</v>
      </c>
      <c r="G5" s="46">
        <f>ABS(E5-F5)</f>
        <v>21369734.784000002</v>
      </c>
      <c r="H5" s="36"/>
      <c r="I5" s="41"/>
    </row>
    <row r="6" spans="1:9" ht="17" x14ac:dyDescent="0.2">
      <c r="B6">
        <v>2</v>
      </c>
      <c r="C6" s="52">
        <v>5749443.0719998302</v>
      </c>
      <c r="D6" s="46">
        <v>10775979.2358361</v>
      </c>
      <c r="E6" s="46">
        <f t="shared" ref="E6:E16" si="0">SUM(C6+D6)</f>
        <v>16525422.307835929</v>
      </c>
      <c r="F6" s="51">
        <v>26640057.600000001</v>
      </c>
      <c r="G6" s="46">
        <f t="shared" ref="G6:G16" si="1">ABS(E6-F6)</f>
        <v>10114635.292164072</v>
      </c>
      <c r="H6" s="36"/>
      <c r="I6" s="41"/>
    </row>
    <row r="7" spans="1:9" ht="17" x14ac:dyDescent="0.2">
      <c r="A7" s="48" t="s">
        <v>102</v>
      </c>
      <c r="B7">
        <v>3</v>
      </c>
      <c r="C7" s="46">
        <v>6228563.3279996701</v>
      </c>
      <c r="D7" s="46">
        <v>17059841.268480301</v>
      </c>
      <c r="E7" s="46">
        <f t="shared" si="0"/>
        <v>23288404.596479971</v>
      </c>
      <c r="F7" s="51">
        <v>26711424</v>
      </c>
      <c r="G7" s="46">
        <f t="shared" si="1"/>
        <v>3423019.403520029</v>
      </c>
      <c r="H7" s="36"/>
      <c r="I7" s="41"/>
    </row>
    <row r="8" spans="1:9" ht="17" x14ac:dyDescent="0.2">
      <c r="B8">
        <v>4</v>
      </c>
      <c r="C8" s="46">
        <v>6707683.5839996701</v>
      </c>
      <c r="D8" s="46">
        <v>16580721.01248</v>
      </c>
      <c r="E8" s="46">
        <f t="shared" si="0"/>
        <v>23288404.596479669</v>
      </c>
      <c r="F8" s="51">
        <v>26711424</v>
      </c>
      <c r="G8" s="46">
        <f t="shared" si="1"/>
        <v>3423019.4035203308</v>
      </c>
      <c r="H8" s="36"/>
      <c r="I8" s="41"/>
    </row>
    <row r="9" spans="1:9" ht="17" x14ac:dyDescent="0.2">
      <c r="B9">
        <v>5</v>
      </c>
      <c r="C9" s="46">
        <v>7186803.8399996702</v>
      </c>
      <c r="D9" s="46">
        <v>16101600.7564804</v>
      </c>
      <c r="E9" s="46">
        <f t="shared" si="0"/>
        <v>23288404.596480072</v>
      </c>
      <c r="F9" s="51">
        <v>26711424</v>
      </c>
      <c r="G9" s="46">
        <f t="shared" si="1"/>
        <v>3423019.4035199285</v>
      </c>
      <c r="H9" s="47"/>
      <c r="I9" s="41"/>
    </row>
    <row r="10" spans="1:9" ht="17" x14ac:dyDescent="0.2">
      <c r="B10">
        <v>6</v>
      </c>
      <c r="C10" s="46">
        <v>7665924.0959996702</v>
      </c>
      <c r="D10" s="46">
        <v>15622480.500480199</v>
      </c>
      <c r="E10" s="46">
        <f t="shared" si="0"/>
        <v>23288404.59647987</v>
      </c>
      <c r="F10" s="51">
        <v>26711424</v>
      </c>
      <c r="G10" s="46">
        <f t="shared" si="1"/>
        <v>3423019.4035201296</v>
      </c>
      <c r="H10" s="47"/>
      <c r="I10" s="41"/>
    </row>
    <row r="11" spans="1:9" ht="17" x14ac:dyDescent="0.2">
      <c r="B11">
        <v>7</v>
      </c>
      <c r="C11" s="46">
        <v>8145044.3519996703</v>
      </c>
      <c r="D11" s="46">
        <v>15143360.244480301</v>
      </c>
      <c r="E11" s="46">
        <f t="shared" si="0"/>
        <v>23288404.596479971</v>
      </c>
      <c r="F11" s="51">
        <v>26711424</v>
      </c>
      <c r="G11" s="46">
        <f t="shared" si="1"/>
        <v>3423019.403520029</v>
      </c>
      <c r="H11" s="47"/>
      <c r="I11" s="41"/>
    </row>
    <row r="12" spans="1:9" ht="17" x14ac:dyDescent="0.2">
      <c r="B12">
        <v>8</v>
      </c>
      <c r="C12" s="46">
        <v>8624164.6079996694</v>
      </c>
      <c r="D12" s="46">
        <v>15009206.572800299</v>
      </c>
      <c r="E12" s="46">
        <f t="shared" si="0"/>
        <v>23633371.180799969</v>
      </c>
      <c r="F12" s="51">
        <v>26711424</v>
      </c>
      <c r="G12" s="46">
        <f t="shared" si="1"/>
        <v>3078052.8192000315</v>
      </c>
    </row>
    <row r="13" spans="1:9" ht="20" x14ac:dyDescent="0.2">
      <c r="B13">
        <v>9</v>
      </c>
      <c r="C13" s="49">
        <v>9103284.8639996592</v>
      </c>
      <c r="D13" s="49">
        <v>14530086.316800199</v>
      </c>
      <c r="E13" s="46">
        <f t="shared" si="0"/>
        <v>23633371.180799857</v>
      </c>
      <c r="F13" s="51">
        <v>26711424</v>
      </c>
      <c r="G13" s="46">
        <f t="shared" si="1"/>
        <v>3078052.8192001432</v>
      </c>
      <c r="H13" s="33"/>
    </row>
    <row r="14" spans="1:9" ht="17" x14ac:dyDescent="0.2">
      <c r="A14" s="48" t="s">
        <v>103</v>
      </c>
      <c r="B14">
        <v>10</v>
      </c>
      <c r="C14" s="46">
        <v>9582405.1199996602</v>
      </c>
      <c r="D14" s="46">
        <v>14050966.060800301</v>
      </c>
      <c r="E14" s="46">
        <f t="shared" si="0"/>
        <v>23633371.180799961</v>
      </c>
      <c r="F14" s="51">
        <v>22918809.600000001</v>
      </c>
      <c r="G14" s="46">
        <f t="shared" si="1"/>
        <v>714561.5807999596</v>
      </c>
      <c r="H14" s="36"/>
    </row>
    <row r="15" spans="1:9" ht="17" x14ac:dyDescent="0.2">
      <c r="B15">
        <v>11</v>
      </c>
      <c r="C15" s="46">
        <v>10061525.3759996</v>
      </c>
      <c r="D15" s="46">
        <v>13571845.8048003</v>
      </c>
      <c r="E15" s="46">
        <f t="shared" si="0"/>
        <v>23633371.180799901</v>
      </c>
      <c r="F15" s="51">
        <v>22918809.600000001</v>
      </c>
      <c r="G15" s="46">
        <f t="shared" si="1"/>
        <v>714561.5807999</v>
      </c>
      <c r="H15" s="46"/>
    </row>
    <row r="16" spans="1:9" ht="17" x14ac:dyDescent="0.2">
      <c r="B16">
        <v>12</v>
      </c>
      <c r="C16" s="46">
        <v>10540645.631999601</v>
      </c>
      <c r="D16" s="46">
        <v>13092725.548800301</v>
      </c>
      <c r="E16" s="46">
        <f t="shared" si="0"/>
        <v>23633371.180799901</v>
      </c>
      <c r="F16" s="51">
        <v>22918809.600000001</v>
      </c>
      <c r="G16" s="46">
        <f t="shared" si="1"/>
        <v>714561.5807999</v>
      </c>
      <c r="H16" s="46"/>
    </row>
    <row r="17" spans="1:12" x14ac:dyDescent="0.2">
      <c r="C17" s="36"/>
      <c r="D17" s="47"/>
      <c r="E17" s="46"/>
      <c r="F17" s="41"/>
      <c r="G17" s="45"/>
      <c r="H17" s="46"/>
    </row>
    <row r="18" spans="1:12" x14ac:dyDescent="0.2">
      <c r="C18" s="36"/>
      <c r="D18" s="47"/>
      <c r="E18" s="46"/>
      <c r="F18" s="41"/>
      <c r="G18" s="45"/>
      <c r="H18" s="46"/>
    </row>
    <row r="19" spans="1:12" x14ac:dyDescent="0.2">
      <c r="C19" s="36"/>
      <c r="D19" s="47"/>
      <c r="E19" s="46"/>
      <c r="F19" s="41"/>
      <c r="G19" s="45"/>
      <c r="H19" s="46"/>
    </row>
    <row r="20" spans="1:12" x14ac:dyDescent="0.2">
      <c r="C20" s="36"/>
      <c r="D20" s="47"/>
      <c r="E20" s="46"/>
      <c r="F20" s="41"/>
      <c r="G20" s="45"/>
      <c r="H20" s="46"/>
    </row>
    <row r="21" spans="1:12" ht="27" x14ac:dyDescent="0.35">
      <c r="A21" t="s">
        <v>105</v>
      </c>
      <c r="C21" s="44" t="s">
        <v>106</v>
      </c>
      <c r="D21" s="31"/>
      <c r="E21" s="31"/>
      <c r="F21" s="31"/>
      <c r="G21" s="31"/>
      <c r="H21" s="31"/>
    </row>
    <row r="22" spans="1:12" ht="27" x14ac:dyDescent="0.35">
      <c r="C22" s="44"/>
      <c r="D22" s="31"/>
      <c r="E22" s="31" t="s">
        <v>120</v>
      </c>
      <c r="F22" s="46">
        <v>23700000</v>
      </c>
      <c r="G22" s="31" t="s">
        <v>122</v>
      </c>
      <c r="H22" s="46">
        <v>25800000</v>
      </c>
    </row>
    <row r="23" spans="1:12" ht="27" x14ac:dyDescent="0.35">
      <c r="C23" s="44"/>
      <c r="D23" s="31"/>
      <c r="E23" s="31" t="s">
        <v>121</v>
      </c>
      <c r="F23" s="46">
        <v>9120000</v>
      </c>
      <c r="G23" s="31" t="s">
        <v>123</v>
      </c>
      <c r="H23" s="46">
        <v>9210000</v>
      </c>
    </row>
    <row r="24" spans="1:12" ht="20" x14ac:dyDescent="0.25">
      <c r="A24" s="50" t="s">
        <v>111</v>
      </c>
      <c r="B24" s="56" t="s">
        <v>100</v>
      </c>
      <c r="C24" s="54" t="s">
        <v>119</v>
      </c>
      <c r="D24" s="55" t="s">
        <v>108</v>
      </c>
      <c r="E24" s="55" t="s">
        <v>109</v>
      </c>
      <c r="F24" s="55" t="s">
        <v>112</v>
      </c>
      <c r="G24" s="55" t="s">
        <v>113</v>
      </c>
      <c r="H24" s="55" t="s">
        <v>114</v>
      </c>
      <c r="I24" s="55" t="s">
        <v>115</v>
      </c>
      <c r="J24" s="55" t="s">
        <v>116</v>
      </c>
      <c r="K24" s="55" t="s">
        <v>117</v>
      </c>
      <c r="L24" s="55" t="s">
        <v>118</v>
      </c>
    </row>
    <row r="25" spans="1:12" ht="17" x14ac:dyDescent="0.2">
      <c r="A25" s="48" t="s">
        <v>93</v>
      </c>
      <c r="B25">
        <v>1</v>
      </c>
      <c r="C25" s="51">
        <v>26640057.600000001</v>
      </c>
    </row>
    <row r="26" spans="1:12" ht="17" x14ac:dyDescent="0.2">
      <c r="B26">
        <v>2</v>
      </c>
      <c r="C26" s="51"/>
    </row>
    <row r="27" spans="1:12" ht="17" x14ac:dyDescent="0.2">
      <c r="A27" s="48" t="s">
        <v>102</v>
      </c>
      <c r="B27">
        <v>3</v>
      </c>
      <c r="C27" s="51">
        <v>26711424</v>
      </c>
    </row>
    <row r="28" spans="1:12" ht="17" x14ac:dyDescent="0.2">
      <c r="B28">
        <v>4</v>
      </c>
      <c r="C28" s="51"/>
    </row>
    <row r="29" spans="1:12" ht="17" x14ac:dyDescent="0.2">
      <c r="B29">
        <v>5</v>
      </c>
      <c r="C29" s="51"/>
    </row>
    <row r="30" spans="1:12" ht="17" x14ac:dyDescent="0.2">
      <c r="B30">
        <v>6</v>
      </c>
      <c r="C30" s="51"/>
    </row>
    <row r="31" spans="1:12" ht="17" x14ac:dyDescent="0.2">
      <c r="B31">
        <v>7</v>
      </c>
      <c r="C31" s="51"/>
    </row>
    <row r="32" spans="1:12" ht="17" x14ac:dyDescent="0.2">
      <c r="B32">
        <v>8</v>
      </c>
      <c r="C32" s="51"/>
    </row>
    <row r="33" spans="1:6" ht="17" x14ac:dyDescent="0.2">
      <c r="B33">
        <v>9</v>
      </c>
      <c r="C33" s="51"/>
    </row>
    <row r="34" spans="1:6" ht="17" x14ac:dyDescent="0.2">
      <c r="A34" s="48" t="s">
        <v>103</v>
      </c>
      <c r="B34">
        <v>10</v>
      </c>
      <c r="C34" s="51">
        <v>22918809.600000001</v>
      </c>
    </row>
    <row r="35" spans="1:6" ht="17" x14ac:dyDescent="0.2">
      <c r="B35">
        <v>11</v>
      </c>
      <c r="C35" s="51"/>
    </row>
    <row r="36" spans="1:6" ht="17" x14ac:dyDescent="0.2">
      <c r="B36">
        <v>12</v>
      </c>
      <c r="C36" s="51"/>
    </row>
    <row r="38" spans="1:6" ht="19" x14ac:dyDescent="0.25">
      <c r="C38" s="54" t="s">
        <v>96</v>
      </c>
      <c r="D38" s="55" t="s">
        <v>108</v>
      </c>
      <c r="E38" s="55" t="s">
        <v>109</v>
      </c>
      <c r="F38" s="55" t="s">
        <v>107</v>
      </c>
    </row>
    <row r="39" spans="1:6" ht="19" x14ac:dyDescent="0.2">
      <c r="A39" s="50" t="s">
        <v>110</v>
      </c>
      <c r="B39" s="56" t="s">
        <v>100</v>
      </c>
      <c r="C39">
        <v>5270322.8159999996</v>
      </c>
    </row>
    <row r="40" spans="1:6" x14ac:dyDescent="0.2">
      <c r="A40" s="48" t="s">
        <v>93</v>
      </c>
      <c r="B40">
        <v>1</v>
      </c>
      <c r="C40">
        <v>16525422.307835929</v>
      </c>
    </row>
    <row r="41" spans="1:6" x14ac:dyDescent="0.2">
      <c r="B41">
        <v>2</v>
      </c>
      <c r="C41">
        <v>23288404.596479971</v>
      </c>
    </row>
    <row r="42" spans="1:6" x14ac:dyDescent="0.2">
      <c r="A42" s="48" t="s">
        <v>102</v>
      </c>
      <c r="B42">
        <v>3</v>
      </c>
      <c r="C42">
        <v>23288404.596479669</v>
      </c>
    </row>
    <row r="43" spans="1:6" x14ac:dyDescent="0.2">
      <c r="B43">
        <v>4</v>
      </c>
      <c r="C43">
        <v>23288404.596480072</v>
      </c>
    </row>
    <row r="44" spans="1:6" x14ac:dyDescent="0.2">
      <c r="B44">
        <v>5</v>
      </c>
      <c r="C44">
        <v>23288404.59647987</v>
      </c>
    </row>
    <row r="45" spans="1:6" x14ac:dyDescent="0.2">
      <c r="B45">
        <v>6</v>
      </c>
      <c r="C45">
        <v>23288404.596479971</v>
      </c>
    </row>
    <row r="46" spans="1:6" x14ac:dyDescent="0.2">
      <c r="B46">
        <v>7</v>
      </c>
      <c r="C46">
        <v>23633371.180799969</v>
      </c>
    </row>
    <row r="47" spans="1:6" x14ac:dyDescent="0.2">
      <c r="B47">
        <v>8</v>
      </c>
      <c r="C47">
        <v>23633371.180799857</v>
      </c>
    </row>
    <row r="48" spans="1:6" x14ac:dyDescent="0.2">
      <c r="B48">
        <v>9</v>
      </c>
      <c r="C48">
        <v>23633371.180799961</v>
      </c>
    </row>
    <row r="49" spans="1:3" x14ac:dyDescent="0.2">
      <c r="A49" s="48" t="s">
        <v>103</v>
      </c>
      <c r="B49">
        <v>10</v>
      </c>
      <c r="C49">
        <v>23633371.180799901</v>
      </c>
    </row>
    <row r="50" spans="1:3" x14ac:dyDescent="0.2">
      <c r="B50">
        <v>11</v>
      </c>
      <c r="C50">
        <v>23633371.180799901</v>
      </c>
    </row>
    <row r="51" spans="1:3" x14ac:dyDescent="0.2">
      <c r="B51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Features</vt:lpstr>
      <vt:lpstr>bon</vt:lpstr>
      <vt:lpstr>debug-cha</vt:lpstr>
      <vt:lpstr>debug-diu</vt:lpstr>
      <vt:lpstr>debug-ddu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ec3766</dc:creator>
  <cp:lastModifiedBy>ec3766</cp:lastModifiedBy>
  <dcterms:created xsi:type="dcterms:W3CDTF">2025-06-12T22:50:57Z</dcterms:created>
  <dcterms:modified xsi:type="dcterms:W3CDTF">2026-02-27T18:05:35Z</dcterms:modified>
</cp:coreProperties>
</file>